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ocuments\Excel Sims\Sim Thing\"/>
    </mc:Choice>
  </mc:AlternateContent>
  <xr:revisionPtr revIDLastSave="0" documentId="13_ncr:1_{665351D8-2C56-43D4-A93E-5A107DE178DE}" xr6:coauthVersionLast="47" xr6:coauthVersionMax="47" xr10:uidLastSave="{00000000-0000-0000-0000-000000000000}"/>
  <bookViews>
    <workbookView xWindow="-108" yWindow="-108" windowWidth="23256" windowHeight="13176" tabRatio="882" firstSheet="1" activeTab="2" xr2:uid="{B77727AC-6CC8-4D44-BC9D-BA6ABF8B28E7}"/>
  </bookViews>
  <sheets>
    <sheet name="tyre wear sim" sheetId="25" state="hidden" r:id="rId1"/>
    <sheet name="Start" sheetId="1" r:id="rId2"/>
    <sheet name="Lineups" sheetId="17" r:id="rId3"/>
    <sheet name="Drivers" sheetId="10" r:id="rId4"/>
    <sheet name="Stats" sheetId="20" r:id="rId5"/>
    <sheet name="Per Race Stats" sheetId="34" r:id="rId6"/>
    <sheet name="Upgrades" sheetId="33" r:id="rId7"/>
    <sheet name="Standings OLD" sheetId="30" state="hidden" r:id="rId8"/>
    <sheet name="Standings" sheetId="32" r:id="rId9"/>
    <sheet name="Podiums" sheetId="9" r:id="rId10"/>
    <sheet name="Event T" sheetId="31" r:id="rId11"/>
    <sheet name="BOP - T" sheetId="27" state="hidden" r:id="rId12"/>
  </sheets>
  <definedNames>
    <definedName name="boosted" localSheetId="11">'BOP - T'!$N$17:$O$17</definedName>
    <definedName name="calendar">Start!$AI$5:$AS$18</definedName>
    <definedName name="chassisShortStatsNew">Stats!$BK$5:$BM$8</definedName>
    <definedName name="chassisStatsBalanced" localSheetId="11">'BOP - T'!$AZ$5:$BF$7</definedName>
    <definedName name="chassisStatsNew">Stats!$BB$5:$BH$8</definedName>
    <definedName name="driverStats">Drivers!$B$5:$E$91</definedName>
    <definedName name="engineStatsBalanced" localSheetId="11">'BOP - T'!$AZ$5:$BF$8</definedName>
    <definedName name="engineStatsNew">Stats!$BP$5:$BT$8</definedName>
    <definedName name="lengthDetails">Start!$AN$21:$AP$24</definedName>
    <definedName name="pointsSystem">Start!$BZ$5:$CC$42</definedName>
    <definedName name="pointsSystem2">Start!$CF$5:$CH$42</definedName>
    <definedName name="trackList">Start!$BI$5:$BS$41</definedName>
    <definedName name="tyreStatsNew">Stats!$BW$5:$BY$7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8" i="1" l="1"/>
  <c r="BB17" i="1"/>
  <c r="BB9" i="1"/>
  <c r="AY24" i="1"/>
  <c r="AY23" i="1"/>
  <c r="AZ23" i="1"/>
  <c r="BA23" i="1"/>
  <c r="BC23" i="1" s="1"/>
  <c r="BD23" i="1"/>
  <c r="BE23" i="1"/>
  <c r="BF23" i="1"/>
  <c r="AY18" i="1"/>
  <c r="AZ18" i="1"/>
  <c r="BA18" i="1"/>
  <c r="BC18" i="1" s="1"/>
  <c r="BD18" i="1"/>
  <c r="BE18" i="1"/>
  <c r="BF18" i="1"/>
  <c r="AY19" i="1"/>
  <c r="AZ19" i="1"/>
  <c r="BA19" i="1"/>
  <c r="BC19" i="1" s="1"/>
  <c r="BD19" i="1"/>
  <c r="BE19" i="1"/>
  <c r="BF19" i="1"/>
  <c r="AY20" i="1"/>
  <c r="AZ20" i="1"/>
  <c r="BA20" i="1"/>
  <c r="BC20" i="1" s="1"/>
  <c r="BD20" i="1"/>
  <c r="BE20" i="1"/>
  <c r="BF20" i="1"/>
  <c r="AY21" i="1"/>
  <c r="AZ21" i="1"/>
  <c r="BA21" i="1"/>
  <c r="BC21" i="1" s="1"/>
  <c r="BD21" i="1"/>
  <c r="BE21" i="1"/>
  <c r="BF21" i="1"/>
  <c r="AY22" i="1"/>
  <c r="AZ22" i="1"/>
  <c r="BA22" i="1"/>
  <c r="BC22" i="1" s="1"/>
  <c r="BD22" i="1"/>
  <c r="BE22" i="1"/>
  <c r="BF22" i="1"/>
  <c r="BF24" i="1"/>
  <c r="BE24" i="1"/>
  <c r="BD24" i="1"/>
  <c r="BA24" i="1"/>
  <c r="BC24" i="1" s="1"/>
  <c r="AZ24" i="1"/>
  <c r="BF17" i="1"/>
  <c r="BE17" i="1"/>
  <c r="BD17" i="1"/>
  <c r="BA17" i="1"/>
  <c r="BC17" i="1" s="1"/>
  <c r="AZ17" i="1"/>
  <c r="AY17" i="1"/>
  <c r="BF16" i="1"/>
  <c r="BE16" i="1"/>
  <c r="BD16" i="1"/>
  <c r="BA16" i="1"/>
  <c r="BC16" i="1" s="1"/>
  <c r="AZ16" i="1"/>
  <c r="AY16" i="1"/>
  <c r="BF15" i="1"/>
  <c r="BE15" i="1"/>
  <c r="BD15" i="1"/>
  <c r="BA15" i="1"/>
  <c r="BC15" i="1" s="1"/>
  <c r="AZ15" i="1"/>
  <c r="AY15" i="1"/>
  <c r="BF14" i="1"/>
  <c r="BE14" i="1"/>
  <c r="BD14" i="1"/>
  <c r="BA14" i="1"/>
  <c r="BC14" i="1" s="1"/>
  <c r="AZ14" i="1"/>
  <c r="AY14" i="1"/>
  <c r="BF13" i="1"/>
  <c r="BE13" i="1"/>
  <c r="BD13" i="1"/>
  <c r="BA13" i="1"/>
  <c r="BC13" i="1" s="1"/>
  <c r="AZ13" i="1"/>
  <c r="AY13" i="1"/>
  <c r="BF12" i="1"/>
  <c r="BE12" i="1"/>
  <c r="BD12" i="1"/>
  <c r="BA12" i="1"/>
  <c r="BC12" i="1" s="1"/>
  <c r="AZ12" i="1"/>
  <c r="AY12" i="1"/>
  <c r="BF11" i="1"/>
  <c r="BE11" i="1"/>
  <c r="BD11" i="1"/>
  <c r="BA11" i="1"/>
  <c r="BC11" i="1" s="1"/>
  <c r="AZ11" i="1"/>
  <c r="AY11" i="1"/>
  <c r="BF10" i="1"/>
  <c r="BE10" i="1"/>
  <c r="BD10" i="1"/>
  <c r="BA10" i="1"/>
  <c r="BB10" i="1" s="1"/>
  <c r="AZ10" i="1"/>
  <c r="AY10" i="1"/>
  <c r="BF9" i="1"/>
  <c r="BE9" i="1"/>
  <c r="BD9" i="1"/>
  <c r="BA9" i="1"/>
  <c r="BC9" i="1" s="1"/>
  <c r="AZ9" i="1"/>
  <c r="AY9" i="1"/>
  <c r="BF8" i="1"/>
  <c r="BE8" i="1"/>
  <c r="BD8" i="1"/>
  <c r="BA8" i="1"/>
  <c r="BC8" i="1" s="1"/>
  <c r="AZ8" i="1"/>
  <c r="AY8" i="1"/>
  <c r="BF7" i="1"/>
  <c r="BE7" i="1"/>
  <c r="BD7" i="1"/>
  <c r="BA7" i="1"/>
  <c r="BC7" i="1" s="1"/>
  <c r="AZ7" i="1"/>
  <c r="AY7" i="1"/>
  <c r="BF6" i="1"/>
  <c r="BE6" i="1"/>
  <c r="BD6" i="1"/>
  <c r="BA6" i="1"/>
  <c r="BC6" i="1" s="1"/>
  <c r="AZ6" i="1"/>
  <c r="AY6" i="1"/>
  <c r="BF5" i="1"/>
  <c r="BE5" i="1"/>
  <c r="BD5" i="1"/>
  <c r="BA5" i="1"/>
  <c r="BC5" i="1" s="1"/>
  <c r="AZ5" i="1"/>
  <c r="AY5" i="1"/>
  <c r="C21" i="9"/>
  <c r="C19" i="9"/>
  <c r="C17" i="9"/>
  <c r="C15" i="9"/>
  <c r="C13" i="9"/>
  <c r="C11" i="9"/>
  <c r="C9" i="9"/>
  <c r="BD8" i="32"/>
  <c r="BE8" i="32"/>
  <c r="BF8" i="32"/>
  <c r="BG8" i="32"/>
  <c r="BH8" i="32"/>
  <c r="BI8" i="32"/>
  <c r="BJ8" i="32"/>
  <c r="BK8" i="32"/>
  <c r="BL8" i="32"/>
  <c r="BM8" i="32"/>
  <c r="BN8" i="32"/>
  <c r="BO8" i="32"/>
  <c r="BP8" i="32"/>
  <c r="BQ8" i="32"/>
  <c r="BR8" i="32"/>
  <c r="BS8" i="32"/>
  <c r="BT8" i="32"/>
  <c r="BU8" i="32"/>
  <c r="BV8" i="32"/>
  <c r="BW8" i="32"/>
  <c r="BX8" i="32"/>
  <c r="BY8" i="32"/>
  <c r="BZ8" i="32"/>
  <c r="CA8" i="32"/>
  <c r="CB8" i="32"/>
  <c r="CC8" i="32"/>
  <c r="CD8" i="32"/>
  <c r="CE8" i="32"/>
  <c r="CF8" i="32"/>
  <c r="CG8" i="32"/>
  <c r="BD5" i="32"/>
  <c r="I14" i="27"/>
  <c r="I13" i="27"/>
  <c r="I12" i="27"/>
  <c r="I11" i="27"/>
  <c r="I10" i="27"/>
  <c r="I9" i="27"/>
  <c r="I8" i="27"/>
  <c r="I7" i="27"/>
  <c r="I6" i="27"/>
  <c r="I5" i="27"/>
  <c r="AL5" i="20"/>
  <c r="AK5" i="20"/>
  <c r="AJ5" i="20"/>
  <c r="AI5" i="20"/>
  <c r="BC10" i="1" l="1"/>
  <c r="BB11" i="1"/>
  <c r="BB19" i="1"/>
  <c r="BB12" i="1"/>
  <c r="BB20" i="1"/>
  <c r="BB5" i="1"/>
  <c r="BB13" i="1"/>
  <c r="BB21" i="1"/>
  <c r="BB6" i="1"/>
  <c r="BB14" i="1"/>
  <c r="BB22" i="1"/>
  <c r="BB7" i="1"/>
  <c r="BB15" i="1"/>
  <c r="BB23" i="1"/>
  <c r="BB8" i="1"/>
  <c r="BB16" i="1"/>
  <c r="BB24" i="1"/>
  <c r="I8" i="32"/>
  <c r="S11" i="27"/>
  <c r="E14" i="34"/>
  <c r="D14" i="34"/>
  <c r="C14" i="34"/>
  <c r="B14" i="34"/>
  <c r="E13" i="34"/>
  <c r="D13" i="34"/>
  <c r="C13" i="34"/>
  <c r="B13" i="34"/>
  <c r="E12" i="34"/>
  <c r="D12" i="34"/>
  <c r="C12" i="34"/>
  <c r="B12" i="34"/>
  <c r="E11" i="34"/>
  <c r="D11" i="34"/>
  <c r="C11" i="34"/>
  <c r="E10" i="34"/>
  <c r="D10" i="34"/>
  <c r="C10" i="34"/>
  <c r="B10" i="34"/>
  <c r="E9" i="34"/>
  <c r="D9" i="34"/>
  <c r="C9" i="34"/>
  <c r="B9" i="34"/>
  <c r="E8" i="34"/>
  <c r="D8" i="34"/>
  <c r="C8" i="34"/>
  <c r="B8" i="34"/>
  <c r="E7" i="34"/>
  <c r="D7" i="34"/>
  <c r="C7" i="34"/>
  <c r="B7" i="34"/>
  <c r="E6" i="34"/>
  <c r="D6" i="34"/>
  <c r="C6" i="34"/>
  <c r="B6" i="34"/>
  <c r="E5" i="34"/>
  <c r="D5" i="34"/>
  <c r="C5" i="34"/>
  <c r="B5" i="34"/>
  <c r="CR7" i="20"/>
  <c r="CU7" i="20" s="1"/>
  <c r="CL7" i="20"/>
  <c r="CL5" i="20"/>
  <c r="CU14" i="20"/>
  <c r="CT14" i="20"/>
  <c r="CS14" i="20"/>
  <c r="CU13" i="20"/>
  <c r="CU12" i="20"/>
  <c r="CU11" i="20"/>
  <c r="CU10" i="20"/>
  <c r="CT10" i="20"/>
  <c r="CS10" i="20"/>
  <c r="CU9" i="20"/>
  <c r="CU8" i="20"/>
  <c r="CU6" i="20"/>
  <c r="CT6" i="20"/>
  <c r="CS6" i="20"/>
  <c r="CU5" i="20"/>
  <c r="C6" i="31"/>
  <c r="AB14" i="20"/>
  <c r="AB13" i="20"/>
  <c r="AB12" i="20"/>
  <c r="AB11" i="20"/>
  <c r="AB10" i="20"/>
  <c r="AB9" i="20"/>
  <c r="AB8" i="20"/>
  <c r="AB7" i="20"/>
  <c r="AB6" i="20"/>
  <c r="AB5" i="20"/>
  <c r="CS7" i="20" l="1"/>
  <c r="CS11" i="20"/>
  <c r="CT7" i="20"/>
  <c r="CT11" i="20"/>
  <c r="CS8" i="20"/>
  <c r="CS12" i="20"/>
  <c r="CT8" i="20"/>
  <c r="CT12" i="20"/>
  <c r="CS5" i="20"/>
  <c r="CS9" i="20"/>
  <c r="CS13" i="20"/>
  <c r="CT5" i="20"/>
  <c r="CT9" i="20"/>
  <c r="CT13" i="20"/>
  <c r="AL7" i="1"/>
  <c r="AM7" i="1"/>
  <c r="AN7" i="1"/>
  <c r="AQ7" i="1"/>
  <c r="W17" i="34" s="1"/>
  <c r="W14" i="34" s="1"/>
  <c r="AR7" i="1"/>
  <c r="X17" i="34" s="1"/>
  <c r="X7" i="34" s="1"/>
  <c r="AS7" i="1"/>
  <c r="Y17" i="34" s="1"/>
  <c r="AO26" i="1"/>
  <c r="AP7" i="1" l="1"/>
  <c r="AO7" i="1"/>
  <c r="W11" i="34"/>
  <c r="W9" i="34"/>
  <c r="X12" i="34"/>
  <c r="W8" i="34"/>
  <c r="X13" i="34"/>
  <c r="W5" i="34"/>
  <c r="X8" i="34"/>
  <c r="X5" i="34"/>
  <c r="W10" i="34"/>
  <c r="W13" i="34"/>
  <c r="X10" i="34"/>
  <c r="W6" i="34"/>
  <c r="X14" i="34"/>
  <c r="X6" i="34"/>
  <c r="W7" i="34"/>
  <c r="X9" i="34"/>
  <c r="X11" i="34"/>
  <c r="W12" i="34"/>
  <c r="X18" i="34" l="1"/>
  <c r="W18" i="34"/>
  <c r="AS40" i="32"/>
  <c r="AS41" i="32" s="1"/>
  <c r="CE45" i="32"/>
  <c r="CD45" i="32"/>
  <c r="CC45" i="32"/>
  <c r="CB45" i="32"/>
  <c r="CA45" i="32"/>
  <c r="BZ45" i="32"/>
  <c r="BY45" i="32"/>
  <c r="BX45" i="32"/>
  <c r="BW45" i="32"/>
  <c r="BV45" i="32"/>
  <c r="BU45" i="32"/>
  <c r="BT45" i="32"/>
  <c r="BS45" i="32"/>
  <c r="BR45" i="32"/>
  <c r="BQ45" i="32"/>
  <c r="BP45" i="32"/>
  <c r="BO45" i="32"/>
  <c r="BN45" i="32"/>
  <c r="BM45" i="32"/>
  <c r="BL45" i="32"/>
  <c r="BK45" i="32"/>
  <c r="BJ45" i="32"/>
  <c r="BI45" i="32"/>
  <c r="BH45" i="32"/>
  <c r="BG45" i="32"/>
  <c r="BF45" i="32"/>
  <c r="CE44" i="32"/>
  <c r="CD44" i="32"/>
  <c r="CC44" i="32"/>
  <c r="CB44" i="32"/>
  <c r="CA44" i="32"/>
  <c r="BZ44" i="32"/>
  <c r="BY44" i="32"/>
  <c r="BX44" i="32"/>
  <c r="BW44" i="32"/>
  <c r="BV44" i="32"/>
  <c r="BU44" i="32"/>
  <c r="BT44" i="32"/>
  <c r="BS44" i="32"/>
  <c r="BR44" i="32"/>
  <c r="BQ44" i="32"/>
  <c r="BP44" i="32"/>
  <c r="BO44" i="32"/>
  <c r="BN44" i="32"/>
  <c r="BM44" i="32"/>
  <c r="BL44" i="32"/>
  <c r="BK44" i="32"/>
  <c r="BJ44" i="32"/>
  <c r="BI44" i="32"/>
  <c r="BH44" i="32"/>
  <c r="BG44" i="32"/>
  <c r="BF44" i="32"/>
  <c r="CE43" i="32"/>
  <c r="CD43" i="32"/>
  <c r="CC43" i="32"/>
  <c r="CB43" i="32"/>
  <c r="CA43" i="32"/>
  <c r="BZ43" i="32"/>
  <c r="BY43" i="32"/>
  <c r="BX43" i="32"/>
  <c r="BW43" i="32"/>
  <c r="BV43" i="32"/>
  <c r="BU43" i="32"/>
  <c r="BT43" i="32"/>
  <c r="BS43" i="32"/>
  <c r="BR43" i="32"/>
  <c r="BQ43" i="32"/>
  <c r="BP43" i="32"/>
  <c r="BO43" i="32"/>
  <c r="BN43" i="32"/>
  <c r="BM43" i="32"/>
  <c r="BL43" i="32"/>
  <c r="BK43" i="32"/>
  <c r="BJ43" i="32"/>
  <c r="BI43" i="32"/>
  <c r="BH43" i="32"/>
  <c r="BG43" i="32"/>
  <c r="BF43" i="32"/>
  <c r="CE42" i="32"/>
  <c r="CD42" i="32"/>
  <c r="CC42" i="32"/>
  <c r="CB42" i="32"/>
  <c r="CA42" i="32"/>
  <c r="BZ42" i="32"/>
  <c r="BY42" i="32"/>
  <c r="BX42" i="32"/>
  <c r="BW42" i="32"/>
  <c r="BV42" i="32"/>
  <c r="BU42" i="32"/>
  <c r="BT42" i="32"/>
  <c r="BS42" i="32"/>
  <c r="BR42" i="32"/>
  <c r="BQ42" i="32"/>
  <c r="BP42" i="32"/>
  <c r="BO42" i="32"/>
  <c r="BN42" i="32"/>
  <c r="BM42" i="32"/>
  <c r="BL42" i="32"/>
  <c r="BK42" i="32"/>
  <c r="BJ42" i="32"/>
  <c r="BI42" i="32"/>
  <c r="BH42" i="32"/>
  <c r="BG42" i="32"/>
  <c r="BF42" i="32"/>
  <c r="CE41" i="32"/>
  <c r="CD41" i="32"/>
  <c r="CC41" i="32"/>
  <c r="CB41" i="32"/>
  <c r="CA41" i="32"/>
  <c r="BZ41" i="32"/>
  <c r="BY41" i="32"/>
  <c r="BX41" i="32"/>
  <c r="BW41" i="32"/>
  <c r="BV41" i="32"/>
  <c r="BU41" i="32"/>
  <c r="BT41" i="32"/>
  <c r="BS41" i="32"/>
  <c r="BR41" i="32"/>
  <c r="BQ41" i="32"/>
  <c r="BP41" i="32"/>
  <c r="BO41" i="32"/>
  <c r="BN41" i="32"/>
  <c r="BM41" i="32"/>
  <c r="BL41" i="32"/>
  <c r="BK41" i="32"/>
  <c r="BJ41" i="32"/>
  <c r="BI41" i="32"/>
  <c r="BH41" i="32"/>
  <c r="BG41" i="32"/>
  <c r="BF41" i="32"/>
  <c r="CE40" i="32"/>
  <c r="CD40" i="32"/>
  <c r="CC40" i="32"/>
  <c r="CB40" i="32"/>
  <c r="CA40" i="32"/>
  <c r="BZ40" i="32"/>
  <c r="BY40" i="32"/>
  <c r="BX40" i="32"/>
  <c r="BW40" i="32"/>
  <c r="BV40" i="32"/>
  <c r="BU40" i="32"/>
  <c r="BT40" i="32"/>
  <c r="BS40" i="32"/>
  <c r="BR40" i="32"/>
  <c r="BQ40" i="32"/>
  <c r="BP40" i="32"/>
  <c r="BO40" i="32"/>
  <c r="BN40" i="32"/>
  <c r="BM40" i="32"/>
  <c r="BL40" i="32"/>
  <c r="BK40" i="32"/>
  <c r="BJ40" i="32"/>
  <c r="BI40" i="32"/>
  <c r="BH40" i="32"/>
  <c r="BG40" i="32"/>
  <c r="BF40" i="32"/>
  <c r="CE39" i="32"/>
  <c r="CD39" i="32"/>
  <c r="CC39" i="32"/>
  <c r="CB39" i="32"/>
  <c r="CA39" i="32"/>
  <c r="BZ39" i="32"/>
  <c r="BY39" i="32"/>
  <c r="BX39" i="32"/>
  <c r="BW39" i="32"/>
  <c r="BV39" i="32"/>
  <c r="BU39" i="32"/>
  <c r="BT39" i="32"/>
  <c r="BS39" i="32"/>
  <c r="BR39" i="32"/>
  <c r="BQ39" i="32"/>
  <c r="BP39" i="32"/>
  <c r="BO39" i="32"/>
  <c r="BN39" i="32"/>
  <c r="BM39" i="32"/>
  <c r="BL39" i="32"/>
  <c r="BK39" i="32"/>
  <c r="BJ39" i="32"/>
  <c r="BI39" i="32"/>
  <c r="BH39" i="32"/>
  <c r="BG39" i="32"/>
  <c r="BF39" i="32"/>
  <c r="CE38" i="32"/>
  <c r="CD38" i="32"/>
  <c r="CC38" i="32"/>
  <c r="CB38" i="32"/>
  <c r="CA38" i="32"/>
  <c r="BZ38" i="32"/>
  <c r="BY38" i="32"/>
  <c r="BX38" i="32"/>
  <c r="BW38" i="32"/>
  <c r="BV38" i="32"/>
  <c r="BU38" i="32"/>
  <c r="BT38" i="32"/>
  <c r="BS38" i="32"/>
  <c r="BR38" i="32"/>
  <c r="BQ38" i="32"/>
  <c r="BP38" i="32"/>
  <c r="BO38" i="32"/>
  <c r="BN38" i="32"/>
  <c r="BM38" i="32"/>
  <c r="BL38" i="32"/>
  <c r="BK38" i="32"/>
  <c r="BJ38" i="32"/>
  <c r="BI38" i="32"/>
  <c r="BH38" i="32"/>
  <c r="BG38" i="32"/>
  <c r="BF38" i="32"/>
  <c r="CE37" i="32"/>
  <c r="CD37" i="32"/>
  <c r="CC37" i="32"/>
  <c r="CB37" i="32"/>
  <c r="CA37" i="32"/>
  <c r="BZ37" i="32"/>
  <c r="BY37" i="32"/>
  <c r="BX37" i="32"/>
  <c r="BW37" i="32"/>
  <c r="BV37" i="32"/>
  <c r="BU37" i="32"/>
  <c r="BT37" i="32"/>
  <c r="BS37" i="32"/>
  <c r="BR37" i="32"/>
  <c r="BQ37" i="32"/>
  <c r="BP37" i="32"/>
  <c r="BO37" i="32"/>
  <c r="BN37" i="32"/>
  <c r="BM37" i="32"/>
  <c r="BL37" i="32"/>
  <c r="BK37" i="32"/>
  <c r="BJ37" i="32"/>
  <c r="BI37" i="32"/>
  <c r="BH37" i="32"/>
  <c r="BG37" i="32"/>
  <c r="BF37" i="32"/>
  <c r="CE36" i="32"/>
  <c r="CD36" i="32"/>
  <c r="CC36" i="32"/>
  <c r="CB36" i="32"/>
  <c r="CA36" i="32"/>
  <c r="BZ36" i="32"/>
  <c r="BY36" i="32"/>
  <c r="BX36" i="32"/>
  <c r="BW36" i="32"/>
  <c r="BV36" i="32"/>
  <c r="BU36" i="32"/>
  <c r="BT36" i="32"/>
  <c r="BS36" i="32"/>
  <c r="BR36" i="32"/>
  <c r="BQ36" i="32"/>
  <c r="BP36" i="32"/>
  <c r="BO36" i="32"/>
  <c r="BN36" i="32"/>
  <c r="BM36" i="32"/>
  <c r="BL36" i="32"/>
  <c r="BK36" i="32"/>
  <c r="BJ36" i="32"/>
  <c r="BI36" i="32"/>
  <c r="BH36" i="32"/>
  <c r="BG36" i="32"/>
  <c r="BF36" i="32"/>
  <c r="CE35" i="32"/>
  <c r="CD35" i="32"/>
  <c r="CC35" i="32"/>
  <c r="CB35" i="32"/>
  <c r="CA35" i="32"/>
  <c r="BZ35" i="32"/>
  <c r="BY35" i="32"/>
  <c r="BX35" i="32"/>
  <c r="BW35" i="32"/>
  <c r="BV35" i="32"/>
  <c r="BU35" i="32"/>
  <c r="BT35" i="32"/>
  <c r="BS35" i="32"/>
  <c r="BR35" i="32"/>
  <c r="BQ35" i="32"/>
  <c r="BP35" i="32"/>
  <c r="BO35" i="32"/>
  <c r="BN35" i="32"/>
  <c r="BM35" i="32"/>
  <c r="BL35" i="32"/>
  <c r="BK35" i="32"/>
  <c r="BJ35" i="32"/>
  <c r="BI35" i="32"/>
  <c r="BH35" i="32"/>
  <c r="BG35" i="32"/>
  <c r="BF35" i="32"/>
  <c r="CE34" i="32"/>
  <c r="CD34" i="32"/>
  <c r="CC34" i="32"/>
  <c r="CB34" i="32"/>
  <c r="CA34" i="32"/>
  <c r="BZ34" i="32"/>
  <c r="BY34" i="32"/>
  <c r="BX34" i="32"/>
  <c r="BW34" i="32"/>
  <c r="BV34" i="32"/>
  <c r="BU34" i="32"/>
  <c r="BT34" i="32"/>
  <c r="BS34" i="32"/>
  <c r="BR34" i="32"/>
  <c r="BQ34" i="32"/>
  <c r="BP34" i="32"/>
  <c r="BO34" i="32"/>
  <c r="BN34" i="32"/>
  <c r="BM34" i="32"/>
  <c r="BL34" i="32"/>
  <c r="BK34" i="32"/>
  <c r="BJ34" i="32"/>
  <c r="BI34" i="32"/>
  <c r="BH34" i="32"/>
  <c r="BG34" i="32"/>
  <c r="BF34" i="32"/>
  <c r="CE33" i="32"/>
  <c r="CD33" i="32"/>
  <c r="CC33" i="32"/>
  <c r="CB33" i="32"/>
  <c r="CA33" i="32"/>
  <c r="BZ33" i="32"/>
  <c r="BY33" i="32"/>
  <c r="BX33" i="32"/>
  <c r="BW33" i="32"/>
  <c r="BV33" i="32"/>
  <c r="BU33" i="32"/>
  <c r="BT33" i="32"/>
  <c r="BS33" i="32"/>
  <c r="BR33" i="32"/>
  <c r="BQ33" i="32"/>
  <c r="BP33" i="32"/>
  <c r="BO33" i="32"/>
  <c r="BN33" i="32"/>
  <c r="BM33" i="32"/>
  <c r="BL33" i="32"/>
  <c r="BK33" i="32"/>
  <c r="BJ33" i="32"/>
  <c r="BI33" i="32"/>
  <c r="BH33" i="32"/>
  <c r="BG33" i="32"/>
  <c r="BF33" i="32"/>
  <c r="CE32" i="32"/>
  <c r="CD32" i="32"/>
  <c r="CC32" i="32"/>
  <c r="CB32" i="32"/>
  <c r="CA32" i="32"/>
  <c r="BZ32" i="32"/>
  <c r="BY32" i="32"/>
  <c r="BX32" i="32"/>
  <c r="BW32" i="32"/>
  <c r="BV32" i="32"/>
  <c r="BU32" i="32"/>
  <c r="BT32" i="32"/>
  <c r="BS32" i="32"/>
  <c r="BR32" i="32"/>
  <c r="BQ32" i="32"/>
  <c r="BP32" i="32"/>
  <c r="BO32" i="32"/>
  <c r="BN32" i="32"/>
  <c r="BM32" i="32"/>
  <c r="BL32" i="32"/>
  <c r="BK32" i="32"/>
  <c r="BJ32" i="32"/>
  <c r="BI32" i="32"/>
  <c r="BH32" i="32"/>
  <c r="BG32" i="32"/>
  <c r="BF32" i="32"/>
  <c r="CE31" i="32"/>
  <c r="CD31" i="32"/>
  <c r="CC31" i="32"/>
  <c r="CB31" i="32"/>
  <c r="CA31" i="32"/>
  <c r="BZ31" i="32"/>
  <c r="BY31" i="32"/>
  <c r="BX31" i="32"/>
  <c r="BW31" i="32"/>
  <c r="BV31" i="32"/>
  <c r="BU31" i="32"/>
  <c r="BT31" i="32"/>
  <c r="BS31" i="32"/>
  <c r="BR31" i="32"/>
  <c r="BQ31" i="32"/>
  <c r="BP31" i="32"/>
  <c r="BO31" i="32"/>
  <c r="BN31" i="32"/>
  <c r="BM31" i="32"/>
  <c r="BL31" i="32"/>
  <c r="BK31" i="32"/>
  <c r="BJ31" i="32"/>
  <c r="BI31" i="32"/>
  <c r="BH31" i="32"/>
  <c r="BG31" i="32"/>
  <c r="BF31" i="32"/>
  <c r="CE30" i="32"/>
  <c r="CD30" i="32"/>
  <c r="CC30" i="32"/>
  <c r="CB30" i="32"/>
  <c r="CA30" i="32"/>
  <c r="BZ30" i="32"/>
  <c r="BY30" i="32"/>
  <c r="BX30" i="32"/>
  <c r="BW30" i="32"/>
  <c r="BV30" i="32"/>
  <c r="BU30" i="32"/>
  <c r="BT30" i="32"/>
  <c r="BS30" i="32"/>
  <c r="BR30" i="32"/>
  <c r="BQ30" i="32"/>
  <c r="BP30" i="32"/>
  <c r="BO30" i="32"/>
  <c r="BN30" i="32"/>
  <c r="BM30" i="32"/>
  <c r="BL30" i="32"/>
  <c r="BK30" i="32"/>
  <c r="BJ30" i="32"/>
  <c r="BI30" i="32"/>
  <c r="BH30" i="32"/>
  <c r="BG30" i="32"/>
  <c r="BF30" i="32"/>
  <c r="CE29" i="32"/>
  <c r="CD29" i="32"/>
  <c r="CC29" i="32"/>
  <c r="CB29" i="32"/>
  <c r="CA29" i="32"/>
  <c r="BZ29" i="32"/>
  <c r="BY29" i="32"/>
  <c r="BX29" i="32"/>
  <c r="BW29" i="32"/>
  <c r="BV29" i="32"/>
  <c r="BU29" i="32"/>
  <c r="BT29" i="32"/>
  <c r="BS29" i="32"/>
  <c r="BR29" i="32"/>
  <c r="BQ29" i="32"/>
  <c r="BP29" i="32"/>
  <c r="BO29" i="32"/>
  <c r="BN29" i="32"/>
  <c r="BM29" i="32"/>
  <c r="BL29" i="32"/>
  <c r="BK29" i="32"/>
  <c r="BJ29" i="32"/>
  <c r="BI29" i="32"/>
  <c r="BH29" i="32"/>
  <c r="BG29" i="32"/>
  <c r="BF29" i="32"/>
  <c r="CE28" i="32"/>
  <c r="CD28" i="32"/>
  <c r="CC28" i="32"/>
  <c r="CB28" i="32"/>
  <c r="CA28" i="32"/>
  <c r="BZ28" i="32"/>
  <c r="BY28" i="32"/>
  <c r="BX28" i="32"/>
  <c r="BW28" i="32"/>
  <c r="BV28" i="32"/>
  <c r="BU28" i="32"/>
  <c r="BT28" i="32"/>
  <c r="BS28" i="32"/>
  <c r="BR28" i="32"/>
  <c r="BQ28" i="32"/>
  <c r="BP28" i="32"/>
  <c r="BO28" i="32"/>
  <c r="BN28" i="32"/>
  <c r="BM28" i="32"/>
  <c r="BL28" i="32"/>
  <c r="BK28" i="32"/>
  <c r="BJ28" i="32"/>
  <c r="BI28" i="32"/>
  <c r="BH28" i="32"/>
  <c r="BG28" i="32"/>
  <c r="BF28" i="32"/>
  <c r="CE27" i="32"/>
  <c r="CD27" i="32"/>
  <c r="CC27" i="32"/>
  <c r="CB27" i="32"/>
  <c r="CA27" i="32"/>
  <c r="BZ27" i="32"/>
  <c r="BY27" i="32"/>
  <c r="BX27" i="32"/>
  <c r="BW27" i="32"/>
  <c r="BV27" i="32"/>
  <c r="BU27" i="32"/>
  <c r="BT27" i="32"/>
  <c r="BS27" i="32"/>
  <c r="BR27" i="32"/>
  <c r="BQ27" i="32"/>
  <c r="BP27" i="32"/>
  <c r="BO27" i="32"/>
  <c r="BN27" i="32"/>
  <c r="BM27" i="32"/>
  <c r="BL27" i="32"/>
  <c r="BK27" i="32"/>
  <c r="BJ27" i="32"/>
  <c r="BI27" i="32"/>
  <c r="BH27" i="32"/>
  <c r="BG27" i="32"/>
  <c r="BF27" i="32"/>
  <c r="CE26" i="32"/>
  <c r="CD26" i="32"/>
  <c r="CC26" i="32"/>
  <c r="CB26" i="32"/>
  <c r="CA26" i="32"/>
  <c r="BZ26" i="32"/>
  <c r="BY26" i="32"/>
  <c r="BX26" i="32"/>
  <c r="BW26" i="32"/>
  <c r="BV26" i="32"/>
  <c r="BU26" i="32"/>
  <c r="BT26" i="32"/>
  <c r="BS26" i="32"/>
  <c r="BR26" i="32"/>
  <c r="BQ26" i="32"/>
  <c r="BP26" i="32"/>
  <c r="BO26" i="32"/>
  <c r="BN26" i="32"/>
  <c r="BM26" i="32"/>
  <c r="BL26" i="32"/>
  <c r="BK26" i="32"/>
  <c r="BJ26" i="32"/>
  <c r="BI26" i="32"/>
  <c r="BH26" i="32"/>
  <c r="BG26" i="32"/>
  <c r="BF26" i="32"/>
  <c r="CE25" i="32"/>
  <c r="CD25" i="32"/>
  <c r="CC25" i="32"/>
  <c r="CB25" i="32"/>
  <c r="CA25" i="32"/>
  <c r="BZ25" i="32"/>
  <c r="BY25" i="32"/>
  <c r="BX25" i="32"/>
  <c r="BW25" i="32"/>
  <c r="BV25" i="32"/>
  <c r="BU25" i="32"/>
  <c r="BT25" i="32"/>
  <c r="BS25" i="32"/>
  <c r="BR25" i="32"/>
  <c r="BQ25" i="32"/>
  <c r="BP25" i="32"/>
  <c r="BO25" i="32"/>
  <c r="BN25" i="32"/>
  <c r="BM25" i="32"/>
  <c r="BL25" i="32"/>
  <c r="BK25" i="32"/>
  <c r="BJ25" i="32"/>
  <c r="BI25" i="32"/>
  <c r="BH25" i="32"/>
  <c r="BG25" i="32"/>
  <c r="BF25" i="32"/>
  <c r="CE24" i="32"/>
  <c r="CD24" i="32"/>
  <c r="CC24" i="32"/>
  <c r="CB24" i="32"/>
  <c r="CA24" i="32"/>
  <c r="BZ24" i="32"/>
  <c r="BY24" i="32"/>
  <c r="BX24" i="32"/>
  <c r="BW24" i="32"/>
  <c r="BV24" i="32"/>
  <c r="BU24" i="32"/>
  <c r="BT24" i="32"/>
  <c r="BS24" i="32"/>
  <c r="BR24" i="32"/>
  <c r="BQ24" i="32"/>
  <c r="BP24" i="32"/>
  <c r="BO24" i="32"/>
  <c r="BN24" i="32"/>
  <c r="BM24" i="32"/>
  <c r="BL24" i="32"/>
  <c r="BK24" i="32"/>
  <c r="BJ24" i="32"/>
  <c r="BI24" i="32"/>
  <c r="BH24" i="32"/>
  <c r="BG24" i="32"/>
  <c r="BF24" i="32"/>
  <c r="CE23" i="32"/>
  <c r="CD23" i="32"/>
  <c r="CC23" i="32"/>
  <c r="CB23" i="32"/>
  <c r="CA23" i="32"/>
  <c r="BZ23" i="32"/>
  <c r="BY23" i="32"/>
  <c r="BX23" i="32"/>
  <c r="BW23" i="32"/>
  <c r="BV23" i="32"/>
  <c r="BU23" i="32"/>
  <c r="BT23" i="32"/>
  <c r="BS23" i="32"/>
  <c r="BR23" i="32"/>
  <c r="BQ23" i="32"/>
  <c r="BP23" i="32"/>
  <c r="BO23" i="32"/>
  <c r="BN23" i="32"/>
  <c r="BM23" i="32"/>
  <c r="BL23" i="32"/>
  <c r="BK23" i="32"/>
  <c r="BJ23" i="32"/>
  <c r="BI23" i="32"/>
  <c r="BH23" i="32"/>
  <c r="BG23" i="32"/>
  <c r="BF23" i="32"/>
  <c r="CE22" i="32"/>
  <c r="CD22" i="32"/>
  <c r="CC22" i="32"/>
  <c r="CB22" i="32"/>
  <c r="CA22" i="32"/>
  <c r="BZ22" i="32"/>
  <c r="BY22" i="32"/>
  <c r="BX22" i="32"/>
  <c r="BW22" i="32"/>
  <c r="BV22" i="32"/>
  <c r="BU22" i="32"/>
  <c r="BT22" i="32"/>
  <c r="BS22" i="32"/>
  <c r="BR22" i="32"/>
  <c r="BQ22" i="32"/>
  <c r="BP22" i="32"/>
  <c r="BO22" i="32"/>
  <c r="BN22" i="32"/>
  <c r="BM22" i="32"/>
  <c r="BL22" i="32"/>
  <c r="BK22" i="32"/>
  <c r="BJ22" i="32"/>
  <c r="BI22" i="32"/>
  <c r="BH22" i="32"/>
  <c r="BG22" i="32"/>
  <c r="BF22" i="32"/>
  <c r="CE21" i="32"/>
  <c r="CD21" i="32"/>
  <c r="CC21" i="32"/>
  <c r="CB21" i="32"/>
  <c r="CA21" i="32"/>
  <c r="BZ21" i="32"/>
  <c r="BY21" i="32"/>
  <c r="BX21" i="32"/>
  <c r="BW21" i="32"/>
  <c r="BV21" i="32"/>
  <c r="BU21" i="32"/>
  <c r="BT21" i="32"/>
  <c r="BS21" i="32"/>
  <c r="BR21" i="32"/>
  <c r="BQ21" i="32"/>
  <c r="BP21" i="32"/>
  <c r="BO21" i="32"/>
  <c r="BN21" i="32"/>
  <c r="BM21" i="32"/>
  <c r="BL21" i="32"/>
  <c r="BK21" i="32"/>
  <c r="BJ21" i="32"/>
  <c r="BI21" i="32"/>
  <c r="BH21" i="32"/>
  <c r="BG21" i="32"/>
  <c r="BF21" i="32"/>
  <c r="CE20" i="32"/>
  <c r="CD20" i="32"/>
  <c r="CC20" i="32"/>
  <c r="CB20" i="32"/>
  <c r="CA20" i="32"/>
  <c r="BZ20" i="32"/>
  <c r="BY20" i="32"/>
  <c r="BX20" i="32"/>
  <c r="BW20" i="32"/>
  <c r="BV20" i="32"/>
  <c r="BU20" i="32"/>
  <c r="BT20" i="32"/>
  <c r="BS20" i="32"/>
  <c r="BR20" i="32"/>
  <c r="BQ20" i="32"/>
  <c r="BP20" i="32"/>
  <c r="BO20" i="32"/>
  <c r="BN20" i="32"/>
  <c r="BM20" i="32"/>
  <c r="BL20" i="32"/>
  <c r="BK20" i="32"/>
  <c r="BJ20" i="32"/>
  <c r="BI20" i="32"/>
  <c r="BH20" i="32"/>
  <c r="BG20" i="32"/>
  <c r="BF20" i="32"/>
  <c r="CE19" i="32"/>
  <c r="CD19" i="32"/>
  <c r="CC19" i="32"/>
  <c r="CB19" i="32"/>
  <c r="CA19" i="32"/>
  <c r="BZ19" i="32"/>
  <c r="BY19" i="32"/>
  <c r="BX19" i="32"/>
  <c r="BW19" i="32"/>
  <c r="BV19" i="32"/>
  <c r="BU19" i="32"/>
  <c r="BT19" i="32"/>
  <c r="BS19" i="32"/>
  <c r="BR19" i="32"/>
  <c r="BQ19" i="32"/>
  <c r="BP19" i="32"/>
  <c r="BO19" i="32"/>
  <c r="BN19" i="32"/>
  <c r="BM19" i="32"/>
  <c r="BL19" i="32"/>
  <c r="BK19" i="32"/>
  <c r="BJ19" i="32"/>
  <c r="BI19" i="32"/>
  <c r="BH19" i="32"/>
  <c r="BG19" i="32"/>
  <c r="BF19" i="32"/>
  <c r="CE18" i="32"/>
  <c r="CD18" i="32"/>
  <c r="CC18" i="32"/>
  <c r="CB18" i="32"/>
  <c r="CA18" i="32"/>
  <c r="BZ18" i="32"/>
  <c r="BY18" i="32"/>
  <c r="BX18" i="32"/>
  <c r="BW18" i="32"/>
  <c r="BV18" i="32"/>
  <c r="BU18" i="32"/>
  <c r="BT18" i="32"/>
  <c r="BS18" i="32"/>
  <c r="BR18" i="32"/>
  <c r="BQ18" i="32"/>
  <c r="BP18" i="32"/>
  <c r="BO18" i="32"/>
  <c r="BN18" i="32"/>
  <c r="BM18" i="32"/>
  <c r="BL18" i="32"/>
  <c r="BK18" i="32"/>
  <c r="BJ18" i="32"/>
  <c r="BI18" i="32"/>
  <c r="BH18" i="32"/>
  <c r="BG18" i="32"/>
  <c r="BF18" i="32"/>
  <c r="CE17" i="32"/>
  <c r="CD17" i="32"/>
  <c r="CC17" i="32"/>
  <c r="CB17" i="32"/>
  <c r="CA17" i="32"/>
  <c r="BZ17" i="32"/>
  <c r="BY17" i="32"/>
  <c r="BX17" i="32"/>
  <c r="BW17" i="32"/>
  <c r="BV17" i="32"/>
  <c r="BU17" i="32"/>
  <c r="BT17" i="32"/>
  <c r="BS17" i="32"/>
  <c r="BR17" i="32"/>
  <c r="BQ17" i="32"/>
  <c r="BP17" i="32"/>
  <c r="BO17" i="32"/>
  <c r="BN17" i="32"/>
  <c r="BM17" i="32"/>
  <c r="BL17" i="32"/>
  <c r="BK17" i="32"/>
  <c r="BJ17" i="32"/>
  <c r="BI17" i="32"/>
  <c r="BH17" i="32"/>
  <c r="BG17" i="32"/>
  <c r="BF17" i="32"/>
  <c r="CE16" i="32"/>
  <c r="CD16" i="32"/>
  <c r="CC16" i="32"/>
  <c r="CB16" i="32"/>
  <c r="CA16" i="32"/>
  <c r="BZ16" i="32"/>
  <c r="BY16" i="32"/>
  <c r="BX16" i="32"/>
  <c r="BW16" i="32"/>
  <c r="BV16" i="32"/>
  <c r="BU16" i="32"/>
  <c r="BT16" i="32"/>
  <c r="BS16" i="32"/>
  <c r="BR16" i="32"/>
  <c r="BQ16" i="32"/>
  <c r="BP16" i="32"/>
  <c r="BO16" i="32"/>
  <c r="BN16" i="32"/>
  <c r="BM16" i="32"/>
  <c r="BL16" i="32"/>
  <c r="BK16" i="32"/>
  <c r="BJ16" i="32"/>
  <c r="BI16" i="32"/>
  <c r="BH16" i="32"/>
  <c r="BG16" i="32"/>
  <c r="BF16" i="32"/>
  <c r="CE15" i="32"/>
  <c r="CD15" i="32"/>
  <c r="CC15" i="32"/>
  <c r="CB15" i="32"/>
  <c r="CA15" i="32"/>
  <c r="BZ15" i="32"/>
  <c r="BY15" i="32"/>
  <c r="BX15" i="32"/>
  <c r="BW15" i="32"/>
  <c r="BV15" i="32"/>
  <c r="BU15" i="32"/>
  <c r="BT15" i="32"/>
  <c r="BS15" i="32"/>
  <c r="BR15" i="32"/>
  <c r="BQ15" i="32"/>
  <c r="BP15" i="32"/>
  <c r="BO15" i="32"/>
  <c r="BN15" i="32"/>
  <c r="BM15" i="32"/>
  <c r="BL15" i="32"/>
  <c r="BK15" i="32"/>
  <c r="BJ15" i="32"/>
  <c r="BI15" i="32"/>
  <c r="BH15" i="32"/>
  <c r="BG15" i="32"/>
  <c r="BF15" i="32"/>
  <c r="CE14" i="32"/>
  <c r="CD14" i="32"/>
  <c r="CC14" i="32"/>
  <c r="CB14" i="32"/>
  <c r="CA14" i="32"/>
  <c r="BZ14" i="32"/>
  <c r="BY14" i="32"/>
  <c r="BX14" i="32"/>
  <c r="BW14" i="32"/>
  <c r="BV14" i="32"/>
  <c r="BU14" i="32"/>
  <c r="BT14" i="32"/>
  <c r="BS14" i="32"/>
  <c r="BR14" i="32"/>
  <c r="BQ14" i="32"/>
  <c r="BP14" i="32"/>
  <c r="BO14" i="32"/>
  <c r="BN14" i="32"/>
  <c r="BM14" i="32"/>
  <c r="BL14" i="32"/>
  <c r="BK14" i="32"/>
  <c r="BJ14" i="32"/>
  <c r="BI14" i="32"/>
  <c r="BH14" i="32"/>
  <c r="BG14" i="32"/>
  <c r="BF14" i="32"/>
  <c r="CE13" i="32"/>
  <c r="CD13" i="32"/>
  <c r="CC13" i="32"/>
  <c r="CB13" i="32"/>
  <c r="CA13" i="32"/>
  <c r="BZ13" i="32"/>
  <c r="BY13" i="32"/>
  <c r="BX13" i="32"/>
  <c r="BW13" i="32"/>
  <c r="BV13" i="32"/>
  <c r="BU13" i="32"/>
  <c r="BT13" i="32"/>
  <c r="BS13" i="32"/>
  <c r="BR13" i="32"/>
  <c r="BQ13" i="32"/>
  <c r="BP13" i="32"/>
  <c r="BO13" i="32"/>
  <c r="BN13" i="32"/>
  <c r="BM13" i="32"/>
  <c r="BL13" i="32"/>
  <c r="BK13" i="32"/>
  <c r="BJ13" i="32"/>
  <c r="BI13" i="32"/>
  <c r="BH13" i="32"/>
  <c r="BG13" i="32"/>
  <c r="BF13" i="32"/>
  <c r="CE12" i="32"/>
  <c r="CD12" i="32"/>
  <c r="CC12" i="32"/>
  <c r="CB12" i="32"/>
  <c r="CA12" i="32"/>
  <c r="BZ12" i="32"/>
  <c r="BY12" i="32"/>
  <c r="BX12" i="32"/>
  <c r="BW12" i="32"/>
  <c r="BV12" i="32"/>
  <c r="BU12" i="32"/>
  <c r="BT12" i="32"/>
  <c r="BS12" i="32"/>
  <c r="BR12" i="32"/>
  <c r="BQ12" i="32"/>
  <c r="BP12" i="32"/>
  <c r="BO12" i="32"/>
  <c r="BN12" i="32"/>
  <c r="BM12" i="32"/>
  <c r="BL12" i="32"/>
  <c r="BK12" i="32"/>
  <c r="BJ12" i="32"/>
  <c r="BI12" i="32"/>
  <c r="BH12" i="32"/>
  <c r="BG12" i="32"/>
  <c r="BF12" i="32"/>
  <c r="CE11" i="32"/>
  <c r="CD11" i="32"/>
  <c r="CC11" i="32"/>
  <c r="CB11" i="32"/>
  <c r="CA11" i="32"/>
  <c r="BZ11" i="32"/>
  <c r="BY11" i="32"/>
  <c r="BX11" i="32"/>
  <c r="BW11" i="32"/>
  <c r="BV11" i="32"/>
  <c r="BU11" i="32"/>
  <c r="BT11" i="32"/>
  <c r="BS11" i="32"/>
  <c r="BR11" i="32"/>
  <c r="BQ11" i="32"/>
  <c r="BP11" i="32"/>
  <c r="BO11" i="32"/>
  <c r="BN11" i="32"/>
  <c r="BM11" i="32"/>
  <c r="BL11" i="32"/>
  <c r="BK11" i="32"/>
  <c r="BJ11" i="32"/>
  <c r="BI11" i="32"/>
  <c r="BH11" i="32"/>
  <c r="BG11" i="32"/>
  <c r="BF11" i="32"/>
  <c r="CE10" i="32"/>
  <c r="CD10" i="32"/>
  <c r="CC10" i="32"/>
  <c r="CB10" i="32"/>
  <c r="CA10" i="32"/>
  <c r="BZ10" i="32"/>
  <c r="BY10" i="32"/>
  <c r="BX10" i="32"/>
  <c r="BW10" i="32"/>
  <c r="BV10" i="32"/>
  <c r="BU10" i="32"/>
  <c r="BT10" i="32"/>
  <c r="BS10" i="32"/>
  <c r="BR10" i="32"/>
  <c r="BQ10" i="32"/>
  <c r="BP10" i="32"/>
  <c r="BO10" i="32"/>
  <c r="BN10" i="32"/>
  <c r="BM10" i="32"/>
  <c r="BL10" i="32"/>
  <c r="BK10" i="32"/>
  <c r="BJ10" i="32"/>
  <c r="BI10" i="32"/>
  <c r="BH10" i="32"/>
  <c r="BG10" i="32"/>
  <c r="BF10" i="32"/>
  <c r="CE9" i="32"/>
  <c r="CD9" i="32"/>
  <c r="CC9" i="32"/>
  <c r="CB9" i="32"/>
  <c r="CA9" i="32"/>
  <c r="BZ9" i="32"/>
  <c r="BY9" i="32"/>
  <c r="BX9" i="32"/>
  <c r="BW9" i="32"/>
  <c r="BV9" i="32"/>
  <c r="BU9" i="32"/>
  <c r="BT9" i="32"/>
  <c r="BS9" i="32"/>
  <c r="BR9" i="32"/>
  <c r="BQ9" i="32"/>
  <c r="BP9" i="32"/>
  <c r="BO9" i="32"/>
  <c r="BN9" i="32"/>
  <c r="BM9" i="32"/>
  <c r="BL9" i="32"/>
  <c r="BK9" i="32"/>
  <c r="BJ9" i="32"/>
  <c r="BI9" i="32"/>
  <c r="BH9" i="32"/>
  <c r="BG9" i="32"/>
  <c r="BF9" i="32"/>
  <c r="CE7" i="32"/>
  <c r="CD7" i="32"/>
  <c r="CC7" i="32"/>
  <c r="CB7" i="32"/>
  <c r="CA7" i="32"/>
  <c r="BZ7" i="32"/>
  <c r="BY7" i="32"/>
  <c r="BX7" i="32"/>
  <c r="BW7" i="32"/>
  <c r="BV7" i="32"/>
  <c r="BU7" i="32"/>
  <c r="BT7" i="32"/>
  <c r="BS7" i="32"/>
  <c r="BR7" i="32"/>
  <c r="BQ7" i="32"/>
  <c r="BP7" i="32"/>
  <c r="BO7" i="32"/>
  <c r="BN7" i="32"/>
  <c r="BM7" i="32"/>
  <c r="BL7" i="32"/>
  <c r="BK7" i="32"/>
  <c r="BJ7" i="32"/>
  <c r="BI7" i="32"/>
  <c r="BH7" i="32"/>
  <c r="BG7" i="32"/>
  <c r="BF7" i="32"/>
  <c r="CE6" i="32"/>
  <c r="CD6" i="32"/>
  <c r="CC6" i="32"/>
  <c r="CB6" i="32"/>
  <c r="CA6" i="32"/>
  <c r="BZ6" i="32"/>
  <c r="BY6" i="32"/>
  <c r="BX6" i="32"/>
  <c r="BW6" i="32"/>
  <c r="BV6" i="32"/>
  <c r="BU6" i="32"/>
  <c r="BT6" i="32"/>
  <c r="BS6" i="32"/>
  <c r="BR6" i="32"/>
  <c r="BQ6" i="32"/>
  <c r="BP6" i="32"/>
  <c r="BO6" i="32"/>
  <c r="BN6" i="32"/>
  <c r="BM6" i="32"/>
  <c r="BL6" i="32"/>
  <c r="BK6" i="32"/>
  <c r="BJ6" i="32"/>
  <c r="BI6" i="32"/>
  <c r="BH6" i="32"/>
  <c r="BG6" i="32"/>
  <c r="BF6" i="32"/>
  <c r="CE5" i="32"/>
  <c r="CD5" i="32"/>
  <c r="CC5" i="32"/>
  <c r="CB5" i="32"/>
  <c r="CA5" i="32"/>
  <c r="BZ5" i="32"/>
  <c r="BY5" i="32"/>
  <c r="BX5" i="32"/>
  <c r="BW5" i="32"/>
  <c r="BV5" i="32"/>
  <c r="BU5" i="32"/>
  <c r="BT5" i="32"/>
  <c r="BS5" i="32"/>
  <c r="BR5" i="32"/>
  <c r="BQ5" i="32"/>
  <c r="BP5" i="32"/>
  <c r="BO5" i="32"/>
  <c r="BN5" i="32"/>
  <c r="BM5" i="32"/>
  <c r="BL5" i="32"/>
  <c r="BK5" i="32"/>
  <c r="BJ5" i="32"/>
  <c r="BI5" i="32"/>
  <c r="BH5" i="32"/>
  <c r="BG5" i="32"/>
  <c r="BF5" i="32"/>
  <c r="BE45" i="32"/>
  <c r="BD45" i="32"/>
  <c r="BE44" i="32"/>
  <c r="BD44" i="32"/>
  <c r="BE43" i="32"/>
  <c r="BD43" i="32"/>
  <c r="BE42" i="32"/>
  <c r="BD42" i="32"/>
  <c r="BE41" i="32"/>
  <c r="BD41" i="32"/>
  <c r="BE40" i="32"/>
  <c r="BD40" i="32"/>
  <c r="BE39" i="32"/>
  <c r="BD39" i="32"/>
  <c r="BE38" i="32"/>
  <c r="BD38" i="32"/>
  <c r="BE37" i="32"/>
  <c r="BD37" i="32"/>
  <c r="BE36" i="32"/>
  <c r="BD36" i="32"/>
  <c r="BE35" i="32"/>
  <c r="BD35" i="32"/>
  <c r="BE34" i="32"/>
  <c r="BD34" i="32"/>
  <c r="BE33" i="32"/>
  <c r="BD33" i="32"/>
  <c r="BE32" i="32"/>
  <c r="BD32" i="32"/>
  <c r="BE31" i="32"/>
  <c r="BD31" i="32"/>
  <c r="BE30" i="32"/>
  <c r="BD30" i="32"/>
  <c r="BE29" i="32"/>
  <c r="BD29" i="32"/>
  <c r="BE28" i="32"/>
  <c r="BD28" i="32"/>
  <c r="BE27" i="32"/>
  <c r="BD27" i="32"/>
  <c r="BE26" i="32"/>
  <c r="BD26" i="32"/>
  <c r="BE25" i="32"/>
  <c r="BD25" i="32"/>
  <c r="BE24" i="32"/>
  <c r="BD24" i="32"/>
  <c r="BE23" i="32"/>
  <c r="BD23" i="32"/>
  <c r="BE22" i="32"/>
  <c r="BD22" i="32"/>
  <c r="BE21" i="32"/>
  <c r="BD21" i="32"/>
  <c r="BE20" i="32"/>
  <c r="BD20" i="32"/>
  <c r="BE19" i="32"/>
  <c r="BD19" i="32"/>
  <c r="BE18" i="32"/>
  <c r="BD18" i="32"/>
  <c r="BE17" i="32"/>
  <c r="BD17" i="32"/>
  <c r="BE16" i="32"/>
  <c r="BD16" i="32"/>
  <c r="BE15" i="32"/>
  <c r="BD15" i="32"/>
  <c r="BE14" i="32"/>
  <c r="BD14" i="32"/>
  <c r="BE13" i="32"/>
  <c r="BD13" i="32"/>
  <c r="BE12" i="32"/>
  <c r="BD12" i="32"/>
  <c r="BE11" i="32"/>
  <c r="BD11" i="32"/>
  <c r="BE10" i="32"/>
  <c r="BD10" i="32"/>
  <c r="BE9" i="32"/>
  <c r="BD9" i="32"/>
  <c r="BE7" i="32"/>
  <c r="BD7" i="32"/>
  <c r="BE6" i="32"/>
  <c r="BD6" i="32"/>
  <c r="BE5" i="32"/>
  <c r="CG45" i="32"/>
  <c r="CF45" i="32"/>
  <c r="CG44" i="32"/>
  <c r="CF44" i="32"/>
  <c r="CG43" i="32"/>
  <c r="CF43" i="32"/>
  <c r="CG42" i="32"/>
  <c r="CF42" i="32"/>
  <c r="CG41" i="32"/>
  <c r="CF41" i="32"/>
  <c r="CG40" i="32"/>
  <c r="CF40" i="32"/>
  <c r="CG39" i="32"/>
  <c r="CF39" i="32"/>
  <c r="CG38" i="32"/>
  <c r="CF38" i="32"/>
  <c r="CG37" i="32"/>
  <c r="CF37" i="32"/>
  <c r="CG36" i="32"/>
  <c r="CF36" i="32"/>
  <c r="CG35" i="32"/>
  <c r="CF35" i="32"/>
  <c r="CG34" i="32"/>
  <c r="EU19" i="32" s="1"/>
  <c r="CF34" i="32"/>
  <c r="ET19" i="32" s="1"/>
  <c r="CG33" i="32"/>
  <c r="CF33" i="32"/>
  <c r="CG32" i="32"/>
  <c r="CF32" i="32"/>
  <c r="CG31" i="32"/>
  <c r="CF31" i="32"/>
  <c r="CG30" i="32"/>
  <c r="CF30" i="32"/>
  <c r="CG29" i="32"/>
  <c r="CF29" i="32"/>
  <c r="CG28" i="32"/>
  <c r="CF28" i="32"/>
  <c r="CG27" i="32"/>
  <c r="CF27" i="32"/>
  <c r="CG26" i="32"/>
  <c r="EU9" i="32" s="1"/>
  <c r="CF26" i="32"/>
  <c r="ET9" i="32" s="1"/>
  <c r="CG25" i="32"/>
  <c r="CF25" i="32"/>
  <c r="CG24" i="32"/>
  <c r="CF24" i="32"/>
  <c r="CG23" i="32"/>
  <c r="CF23" i="32"/>
  <c r="CG22" i="32"/>
  <c r="CF22" i="32"/>
  <c r="CG21" i="32"/>
  <c r="CF21" i="32"/>
  <c r="CG20" i="32"/>
  <c r="CF20" i="32"/>
  <c r="CG19" i="32"/>
  <c r="CF19" i="32"/>
  <c r="CG18" i="32"/>
  <c r="EU7" i="32" s="1"/>
  <c r="CF18" i="32"/>
  <c r="ET7" i="32" s="1"/>
  <c r="CG17" i="32"/>
  <c r="CF17" i="32"/>
  <c r="CG16" i="32"/>
  <c r="CF16" i="32"/>
  <c r="CG15" i="32"/>
  <c r="CF15" i="32"/>
  <c r="CG14" i="32"/>
  <c r="CF14" i="32"/>
  <c r="CG13" i="32"/>
  <c r="CF13" i="32"/>
  <c r="CG12" i="32"/>
  <c r="CF12" i="32"/>
  <c r="CG11" i="32"/>
  <c r="CF11" i="32"/>
  <c r="CG10" i="32"/>
  <c r="CF10" i="32"/>
  <c r="CG9" i="32"/>
  <c r="CF9" i="32"/>
  <c r="CG7" i="32"/>
  <c r="CF7" i="32"/>
  <c r="CG6" i="32"/>
  <c r="CF6" i="32"/>
  <c r="CG5" i="32"/>
  <c r="CF5" i="32"/>
  <c r="AS38" i="32"/>
  <c r="AS13" i="1"/>
  <c r="AR13" i="1"/>
  <c r="AQ13" i="1"/>
  <c r="AN13" i="1"/>
  <c r="AM13" i="1"/>
  <c r="AL13" i="1"/>
  <c r="AS6" i="1"/>
  <c r="T17" i="34" s="1"/>
  <c r="AR6" i="1"/>
  <c r="S17" i="34" s="1"/>
  <c r="AQ6" i="1"/>
  <c r="AN6" i="1"/>
  <c r="AM6" i="1"/>
  <c r="AL6" i="1"/>
  <c r="AN18" i="1"/>
  <c r="AN17" i="1"/>
  <c r="AN16" i="1"/>
  <c r="AN15" i="1"/>
  <c r="AN14" i="1"/>
  <c r="AN12" i="1"/>
  <c r="AN11" i="1"/>
  <c r="AN10" i="1"/>
  <c r="AN9" i="1"/>
  <c r="AN8" i="1"/>
  <c r="AN5" i="1"/>
  <c r="AM5" i="1"/>
  <c r="R17" i="34" l="1"/>
  <c r="R10" i="34" s="1"/>
  <c r="AP18" i="1"/>
  <c r="AO18" i="1"/>
  <c r="AP5" i="1"/>
  <c r="AO5" i="1"/>
  <c r="AP8" i="1"/>
  <c r="AO8" i="1"/>
  <c r="AP6" i="1"/>
  <c r="AO6" i="1"/>
  <c r="AP13" i="1"/>
  <c r="AO13" i="1"/>
  <c r="AP10" i="1"/>
  <c r="AO10" i="1"/>
  <c r="AO11" i="1"/>
  <c r="AP11" i="1"/>
  <c r="AP9" i="1"/>
  <c r="AO9" i="1"/>
  <c r="AP15" i="1"/>
  <c r="AO15" i="1"/>
  <c r="AP12" i="1"/>
  <c r="AO12" i="1"/>
  <c r="AP14" i="1"/>
  <c r="AO14" i="1"/>
  <c r="AP16" i="1"/>
  <c r="AO16" i="1"/>
  <c r="AP17" i="1"/>
  <c r="AO17" i="1"/>
  <c r="S13" i="34"/>
  <c r="S14" i="34"/>
  <c r="S8" i="34"/>
  <c r="S5" i="34"/>
  <c r="S9" i="34"/>
  <c r="S12" i="34"/>
  <c r="S7" i="34"/>
  <c r="S11" i="34"/>
  <c r="S10" i="34"/>
  <c r="S6" i="34"/>
  <c r="R9" i="34"/>
  <c r="R13" i="34"/>
  <c r="R14" i="34"/>
  <c r="R6" i="34"/>
  <c r="R5" i="34"/>
  <c r="R11" i="34"/>
  <c r="R12" i="34"/>
  <c r="DY21" i="32"/>
  <c r="DY11" i="32"/>
  <c r="DY22" i="32"/>
  <c r="DY12" i="32"/>
  <c r="DY33" i="32"/>
  <c r="DY34" i="32"/>
  <c r="EO21" i="32"/>
  <c r="EO11" i="32"/>
  <c r="EO22" i="32"/>
  <c r="EO12" i="32"/>
  <c r="EO33" i="32"/>
  <c r="EO34" i="32"/>
  <c r="EG6" i="32"/>
  <c r="EG17" i="32"/>
  <c r="EG31" i="32"/>
  <c r="EG18" i="32"/>
  <c r="EG32" i="32"/>
  <c r="EG5" i="32"/>
  <c r="DY29" i="32"/>
  <c r="DY23" i="32"/>
  <c r="DY30" i="32"/>
  <c r="DY24" i="32"/>
  <c r="EO29" i="32"/>
  <c r="EO23" i="32"/>
  <c r="EO24" i="32"/>
  <c r="EO30" i="32"/>
  <c r="EG7" i="32"/>
  <c r="EG8" i="32"/>
  <c r="EG9" i="32"/>
  <c r="EG10" i="32"/>
  <c r="EG20" i="32"/>
  <c r="EG19" i="32"/>
  <c r="EF6" i="32"/>
  <c r="EF17" i="32"/>
  <c r="EF18" i="32"/>
  <c r="EF31" i="32"/>
  <c r="EF32" i="32"/>
  <c r="EF5" i="32"/>
  <c r="DX24" i="32"/>
  <c r="DX29" i="32"/>
  <c r="DX30" i="32"/>
  <c r="DX23" i="32"/>
  <c r="EH20" i="32"/>
  <c r="EH19" i="32"/>
  <c r="EA11" i="32"/>
  <c r="EA22" i="32"/>
  <c r="EA12" i="32"/>
  <c r="EA33" i="32"/>
  <c r="EA34" i="32"/>
  <c r="EA21" i="32"/>
  <c r="EQ11" i="32"/>
  <c r="EQ22" i="32"/>
  <c r="EQ12" i="32"/>
  <c r="EQ33" i="32"/>
  <c r="EQ34" i="32"/>
  <c r="EQ21" i="32"/>
  <c r="EI6" i="32"/>
  <c r="EI17" i="32"/>
  <c r="EI31" i="32"/>
  <c r="EI32" i="32"/>
  <c r="EI18" i="32"/>
  <c r="EI5" i="32"/>
  <c r="EA29" i="32"/>
  <c r="EA30" i="32"/>
  <c r="EA23" i="32"/>
  <c r="EA24" i="32"/>
  <c r="EQ29" i="32"/>
  <c r="EQ30" i="32"/>
  <c r="EQ23" i="32"/>
  <c r="EQ24" i="32"/>
  <c r="EI8" i="32"/>
  <c r="EI7" i="32"/>
  <c r="EI10" i="32"/>
  <c r="EI9" i="32"/>
  <c r="EI20" i="32"/>
  <c r="EI19" i="32"/>
  <c r="EE9" i="32"/>
  <c r="EE10" i="32"/>
  <c r="EH6" i="32"/>
  <c r="EH17" i="32"/>
  <c r="EH31" i="32"/>
  <c r="EH18" i="32"/>
  <c r="EH32" i="32"/>
  <c r="EH5" i="32"/>
  <c r="EH9" i="32"/>
  <c r="EH10" i="32"/>
  <c r="DR32" i="32"/>
  <c r="DR31" i="32"/>
  <c r="DR6" i="32"/>
  <c r="DR5" i="32"/>
  <c r="DR18" i="32"/>
  <c r="DR17" i="32"/>
  <c r="DR8" i="32"/>
  <c r="DR7" i="32"/>
  <c r="DR10" i="32"/>
  <c r="DR9" i="32"/>
  <c r="DR20" i="32"/>
  <c r="DR19" i="32"/>
  <c r="EB11" i="32"/>
  <c r="EB22" i="32"/>
  <c r="EB12" i="32"/>
  <c r="EB33" i="32"/>
  <c r="EB34" i="32"/>
  <c r="EB21" i="32"/>
  <c r="ER11" i="32"/>
  <c r="ER22" i="32"/>
  <c r="ER12" i="32"/>
  <c r="ER33" i="32"/>
  <c r="ER34" i="32"/>
  <c r="ER21" i="32"/>
  <c r="DT5" i="32"/>
  <c r="DT17" i="32"/>
  <c r="DT31" i="32"/>
  <c r="DT18" i="32"/>
  <c r="DT32" i="32"/>
  <c r="DT6" i="32"/>
  <c r="EJ17" i="32"/>
  <c r="EJ31" i="32"/>
  <c r="EJ18" i="32"/>
  <c r="EJ5" i="32"/>
  <c r="EJ32" i="32"/>
  <c r="EJ6" i="32"/>
  <c r="EB29" i="32"/>
  <c r="EB30" i="32"/>
  <c r="EB23" i="32"/>
  <c r="EB24" i="32"/>
  <c r="ER29" i="32"/>
  <c r="ER30" i="32"/>
  <c r="ER23" i="32"/>
  <c r="ER24" i="32"/>
  <c r="DT7" i="32"/>
  <c r="DT8" i="32"/>
  <c r="EJ7" i="32"/>
  <c r="EJ8" i="32"/>
  <c r="DT10" i="32"/>
  <c r="DT9" i="32"/>
  <c r="EJ10" i="32"/>
  <c r="EJ9" i="32"/>
  <c r="DT20" i="32"/>
  <c r="DT19" i="32"/>
  <c r="EJ20" i="32"/>
  <c r="EJ19" i="32"/>
  <c r="EE6" i="32"/>
  <c r="EE17" i="32"/>
  <c r="EE31" i="32"/>
  <c r="EE18" i="32"/>
  <c r="EE32" i="32"/>
  <c r="EE5" i="32"/>
  <c r="EE7" i="32"/>
  <c r="EE8" i="32"/>
  <c r="EE19" i="32"/>
  <c r="EE20" i="32"/>
  <c r="DS6" i="32"/>
  <c r="DS17" i="32"/>
  <c r="DS31" i="32"/>
  <c r="DS18" i="32"/>
  <c r="DS32" i="32"/>
  <c r="DS5" i="32"/>
  <c r="DS7" i="32"/>
  <c r="DS8" i="32"/>
  <c r="DS10" i="32"/>
  <c r="DS9" i="32"/>
  <c r="DS20" i="32"/>
  <c r="DS19" i="32"/>
  <c r="EC22" i="32"/>
  <c r="EC12" i="32"/>
  <c r="EC33" i="32"/>
  <c r="EC34" i="32"/>
  <c r="EC21" i="32"/>
  <c r="EC11" i="32"/>
  <c r="ES22" i="32"/>
  <c r="ES12" i="32"/>
  <c r="ES33" i="32"/>
  <c r="ES34" i="32"/>
  <c r="ES21" i="32"/>
  <c r="ES11" i="32"/>
  <c r="DU17" i="32"/>
  <c r="DU31" i="32"/>
  <c r="DU18" i="32"/>
  <c r="DU32" i="32"/>
  <c r="DU5" i="32"/>
  <c r="DU6" i="32"/>
  <c r="EK17" i="32"/>
  <c r="EK31" i="32"/>
  <c r="EK18" i="32"/>
  <c r="EK32" i="32"/>
  <c r="EK5" i="32"/>
  <c r="EK6" i="32"/>
  <c r="EC29" i="32"/>
  <c r="EC30" i="32"/>
  <c r="EC23" i="32"/>
  <c r="EC24" i="32"/>
  <c r="ES29" i="32"/>
  <c r="ES30" i="32"/>
  <c r="ES23" i="32"/>
  <c r="ES24" i="32"/>
  <c r="DU7" i="32"/>
  <c r="DU8" i="32"/>
  <c r="EK7" i="32"/>
  <c r="EK8" i="32"/>
  <c r="DU10" i="32"/>
  <c r="DU9" i="32"/>
  <c r="EK10" i="32"/>
  <c r="EK9" i="32"/>
  <c r="DU19" i="32"/>
  <c r="DU20" i="32"/>
  <c r="EK19" i="32"/>
  <c r="EK20" i="32"/>
  <c r="ED22" i="32"/>
  <c r="ED12" i="32"/>
  <c r="ED33" i="32"/>
  <c r="ED34" i="32"/>
  <c r="ED21" i="32"/>
  <c r="ED11" i="32"/>
  <c r="DV31" i="32"/>
  <c r="DV18" i="32"/>
  <c r="DV32" i="32"/>
  <c r="DV5" i="32"/>
  <c r="DV6" i="32"/>
  <c r="DV17" i="32"/>
  <c r="EL31" i="32"/>
  <c r="EL18" i="32"/>
  <c r="EL32" i="32"/>
  <c r="EL5" i="32"/>
  <c r="EL6" i="32"/>
  <c r="EL17" i="32"/>
  <c r="ED29" i="32"/>
  <c r="ED30" i="32"/>
  <c r="ED23" i="32"/>
  <c r="ED24" i="32"/>
  <c r="DV7" i="32"/>
  <c r="DV8" i="32"/>
  <c r="EL7" i="32"/>
  <c r="EL8" i="32"/>
  <c r="DV10" i="32"/>
  <c r="DV9" i="32"/>
  <c r="EL10" i="32"/>
  <c r="EL9" i="32"/>
  <c r="DV19" i="32"/>
  <c r="DV20" i="32"/>
  <c r="EL19" i="32"/>
  <c r="EL20" i="32"/>
  <c r="DW34" i="32"/>
  <c r="DW21" i="32"/>
  <c r="DW11" i="32"/>
  <c r="DW22" i="32"/>
  <c r="DW12" i="32"/>
  <c r="DW33" i="32"/>
  <c r="EN21" i="32"/>
  <c r="EN11" i="32"/>
  <c r="EN22" i="32"/>
  <c r="EN33" i="32"/>
  <c r="EN12" i="32"/>
  <c r="EN34" i="32"/>
  <c r="EN24" i="32"/>
  <c r="EN29" i="32"/>
  <c r="EN30" i="32"/>
  <c r="EN23" i="32"/>
  <c r="EF9" i="32"/>
  <c r="EF10" i="32"/>
  <c r="EE12" i="32"/>
  <c r="EE33" i="32"/>
  <c r="EE34" i="32"/>
  <c r="EE21" i="32"/>
  <c r="EE11" i="32"/>
  <c r="EE22" i="32"/>
  <c r="DW31" i="32"/>
  <c r="DW18" i="32"/>
  <c r="DW32" i="32"/>
  <c r="DW5" i="32"/>
  <c r="DW6" i="32"/>
  <c r="DW17" i="32"/>
  <c r="EM31" i="32"/>
  <c r="EM18" i="32"/>
  <c r="EM32" i="32"/>
  <c r="EM5" i="32"/>
  <c r="EM6" i="32"/>
  <c r="EM17" i="32"/>
  <c r="EE30" i="32"/>
  <c r="EE23" i="32"/>
  <c r="EE24" i="32"/>
  <c r="EE29" i="32"/>
  <c r="DW7" i="32"/>
  <c r="DW8" i="32"/>
  <c r="EM7" i="32"/>
  <c r="EM8" i="32"/>
  <c r="DW10" i="32"/>
  <c r="DW9" i="32"/>
  <c r="EM10" i="32"/>
  <c r="EM9" i="32"/>
  <c r="DW19" i="32"/>
  <c r="DW20" i="32"/>
  <c r="EM19" i="32"/>
  <c r="EM20" i="32"/>
  <c r="DX21" i="32"/>
  <c r="DX11" i="32"/>
  <c r="DX33" i="32"/>
  <c r="DX22" i="32"/>
  <c r="DX12" i="32"/>
  <c r="DX34" i="32"/>
  <c r="ET31" i="32"/>
  <c r="ET5" i="32"/>
  <c r="ET17" i="32"/>
  <c r="EU31" i="32"/>
  <c r="EU17" i="32"/>
  <c r="EU5" i="32"/>
  <c r="EF12" i="32"/>
  <c r="EF33" i="32"/>
  <c r="EF34" i="32"/>
  <c r="EF21" i="32"/>
  <c r="EF11" i="32"/>
  <c r="EF22" i="32"/>
  <c r="DX31" i="32"/>
  <c r="DX18" i="32"/>
  <c r="DX32" i="32"/>
  <c r="DX5" i="32"/>
  <c r="DX6" i="32"/>
  <c r="DX17" i="32"/>
  <c r="EN31" i="32"/>
  <c r="EN18" i="32"/>
  <c r="EN32" i="32"/>
  <c r="EN5" i="32"/>
  <c r="EN6" i="32"/>
  <c r="EN17" i="32"/>
  <c r="EF30" i="32"/>
  <c r="EF23" i="32"/>
  <c r="EF24" i="32"/>
  <c r="EF29" i="32"/>
  <c r="DX7" i="32"/>
  <c r="DX8" i="32"/>
  <c r="EN7" i="32"/>
  <c r="EN8" i="32"/>
  <c r="DX9" i="32"/>
  <c r="DX10" i="32"/>
  <c r="EN9" i="32"/>
  <c r="EN10" i="32"/>
  <c r="DX19" i="32"/>
  <c r="DX20" i="32"/>
  <c r="EN19" i="32"/>
  <c r="EN20" i="32"/>
  <c r="EF7" i="32"/>
  <c r="EF8" i="32"/>
  <c r="EG12" i="32"/>
  <c r="EG33" i="32"/>
  <c r="EG34" i="32"/>
  <c r="EG21" i="32"/>
  <c r="EG11" i="32"/>
  <c r="EG22" i="32"/>
  <c r="DY18" i="32"/>
  <c r="DY32" i="32"/>
  <c r="DY5" i="32"/>
  <c r="DY6" i="32"/>
  <c r="DY17" i="32"/>
  <c r="DY31" i="32"/>
  <c r="EO18" i="32"/>
  <c r="EO32" i="32"/>
  <c r="EO5" i="32"/>
  <c r="EO6" i="32"/>
  <c r="EO17" i="32"/>
  <c r="EO31" i="32"/>
  <c r="EG30" i="32"/>
  <c r="EG23" i="32"/>
  <c r="EG24" i="32"/>
  <c r="EG29" i="32"/>
  <c r="DY8" i="32"/>
  <c r="DY7" i="32"/>
  <c r="EO8" i="32"/>
  <c r="EO7" i="32"/>
  <c r="DY9" i="32"/>
  <c r="DY10" i="32"/>
  <c r="EO9" i="32"/>
  <c r="EO10" i="32"/>
  <c r="DY19" i="32"/>
  <c r="DY20" i="32"/>
  <c r="EO19" i="32"/>
  <c r="EO20" i="32"/>
  <c r="EM24" i="32"/>
  <c r="EM29" i="32"/>
  <c r="EM30" i="32"/>
  <c r="EM23" i="32"/>
  <c r="EP11" i="32"/>
  <c r="EP22" i="32"/>
  <c r="EP12" i="32"/>
  <c r="EP33" i="32"/>
  <c r="EP34" i="32"/>
  <c r="EP21" i="32"/>
  <c r="EH33" i="32"/>
  <c r="EH34" i="32"/>
  <c r="EH11" i="32"/>
  <c r="EH21" i="32"/>
  <c r="EH22" i="32"/>
  <c r="EH12" i="32"/>
  <c r="DZ18" i="32"/>
  <c r="DZ32" i="32"/>
  <c r="DZ5" i="32"/>
  <c r="DZ6" i="32"/>
  <c r="DZ17" i="32"/>
  <c r="DZ31" i="32"/>
  <c r="EP18" i="32"/>
  <c r="EP32" i="32"/>
  <c r="EP5" i="32"/>
  <c r="EP6" i="32"/>
  <c r="EP17" i="32"/>
  <c r="EP31" i="32"/>
  <c r="EH30" i="32"/>
  <c r="EH23" i="32"/>
  <c r="EH24" i="32"/>
  <c r="EH29" i="32"/>
  <c r="DZ8" i="32"/>
  <c r="DZ7" i="32"/>
  <c r="EP8" i="32"/>
  <c r="EP7" i="32"/>
  <c r="DZ9" i="32"/>
  <c r="DZ10" i="32"/>
  <c r="EP9" i="32"/>
  <c r="EP10" i="32"/>
  <c r="DZ19" i="32"/>
  <c r="DZ20" i="32"/>
  <c r="EP19" i="32"/>
  <c r="EP20" i="32"/>
  <c r="DW24" i="32"/>
  <c r="DW29" i="32"/>
  <c r="DW30" i="32"/>
  <c r="DW23" i="32"/>
  <c r="DZ29" i="32"/>
  <c r="DZ30" i="32"/>
  <c r="DZ23" i="32"/>
  <c r="DZ24" i="32"/>
  <c r="EI34" i="32"/>
  <c r="EI21" i="32"/>
  <c r="EI11" i="32"/>
  <c r="EI22" i="32"/>
  <c r="EI12" i="32"/>
  <c r="EI33" i="32"/>
  <c r="EA32" i="32"/>
  <c r="EA5" i="32"/>
  <c r="EA17" i="32"/>
  <c r="EA6" i="32"/>
  <c r="EA31" i="32"/>
  <c r="EA18" i="32"/>
  <c r="EQ32" i="32"/>
  <c r="EQ5" i="32"/>
  <c r="EQ17" i="32"/>
  <c r="EQ6" i="32"/>
  <c r="EQ31" i="32"/>
  <c r="EQ18" i="32"/>
  <c r="EI30" i="32"/>
  <c r="EI23" i="32"/>
  <c r="EI24" i="32"/>
  <c r="EI29" i="32"/>
  <c r="EA8" i="32"/>
  <c r="EA7" i="32"/>
  <c r="EQ8" i="32"/>
  <c r="EQ7" i="32"/>
  <c r="EA9" i="32"/>
  <c r="EA10" i="32"/>
  <c r="EQ9" i="32"/>
  <c r="EQ10" i="32"/>
  <c r="EA19" i="32"/>
  <c r="EA20" i="32"/>
  <c r="EQ19" i="32"/>
  <c r="EQ20" i="32"/>
  <c r="EP29" i="32"/>
  <c r="EP30" i="32"/>
  <c r="EP23" i="32"/>
  <c r="EP24" i="32"/>
  <c r="DR24" i="32"/>
  <c r="DR23" i="32"/>
  <c r="DR30" i="32"/>
  <c r="DR29" i="32"/>
  <c r="DT34" i="32"/>
  <c r="DT21" i="32"/>
  <c r="DT22" i="32"/>
  <c r="DT11" i="32"/>
  <c r="DT12" i="32"/>
  <c r="DT33" i="32"/>
  <c r="EJ22" i="32"/>
  <c r="EJ34" i="32"/>
  <c r="EJ21" i="32"/>
  <c r="EJ11" i="32"/>
  <c r="EJ12" i="32"/>
  <c r="EJ33" i="32"/>
  <c r="EB32" i="32"/>
  <c r="EB5" i="32"/>
  <c r="EB6" i="32"/>
  <c r="EB17" i="32"/>
  <c r="EB31" i="32"/>
  <c r="EB18" i="32"/>
  <c r="ER32" i="32"/>
  <c r="ER5" i="32"/>
  <c r="ER6" i="32"/>
  <c r="ER17" i="32"/>
  <c r="ER31" i="32"/>
  <c r="ER18" i="32"/>
  <c r="DT24" i="32"/>
  <c r="DT29" i="32"/>
  <c r="DT30" i="32"/>
  <c r="DT23" i="32"/>
  <c r="EJ29" i="32"/>
  <c r="EJ24" i="32"/>
  <c r="EJ30" i="32"/>
  <c r="EJ23" i="32"/>
  <c r="EB8" i="32"/>
  <c r="EB7" i="32"/>
  <c r="ER8" i="32"/>
  <c r="ER7" i="32"/>
  <c r="EB9" i="32"/>
  <c r="EB10" i="32"/>
  <c r="ER9" i="32"/>
  <c r="ER10" i="32"/>
  <c r="EB19" i="32"/>
  <c r="EB20" i="32"/>
  <c r="ER19" i="32"/>
  <c r="ER20" i="32"/>
  <c r="EM34" i="32"/>
  <c r="EM21" i="32"/>
  <c r="EM11" i="32"/>
  <c r="EM12" i="32"/>
  <c r="EM22" i="32"/>
  <c r="EM33" i="32"/>
  <c r="EF20" i="32"/>
  <c r="EF19" i="32"/>
  <c r="EH7" i="32"/>
  <c r="EH8" i="32"/>
  <c r="ET11" i="32"/>
  <c r="ET21" i="32"/>
  <c r="ET33" i="32"/>
  <c r="ET23" i="32"/>
  <c r="ET29" i="32"/>
  <c r="DS34" i="32"/>
  <c r="DS21" i="32"/>
  <c r="DS11" i="32"/>
  <c r="DS22" i="32"/>
  <c r="DS12" i="32"/>
  <c r="DS33" i="32"/>
  <c r="DS30" i="32"/>
  <c r="DS23" i="32"/>
  <c r="DS24" i="32"/>
  <c r="DS29" i="32"/>
  <c r="DU34" i="32"/>
  <c r="DU21" i="32"/>
  <c r="DU11" i="32"/>
  <c r="DU22" i="32"/>
  <c r="DU12" i="32"/>
  <c r="DU33" i="32"/>
  <c r="EK34" i="32"/>
  <c r="EK21" i="32"/>
  <c r="EK11" i="32"/>
  <c r="EK22" i="32"/>
  <c r="EK12" i="32"/>
  <c r="EK33" i="32"/>
  <c r="EC32" i="32"/>
  <c r="EC5" i="32"/>
  <c r="EC6" i="32"/>
  <c r="EC17" i="32"/>
  <c r="EC31" i="32"/>
  <c r="EC18" i="32"/>
  <c r="ES32" i="32"/>
  <c r="ES5" i="32"/>
  <c r="ES6" i="32"/>
  <c r="ES17" i="32"/>
  <c r="ES31" i="32"/>
  <c r="ES18" i="32"/>
  <c r="DU24" i="32"/>
  <c r="DU29" i="32"/>
  <c r="DU30" i="32"/>
  <c r="DU23" i="32"/>
  <c r="EK24" i="32"/>
  <c r="EK29" i="32"/>
  <c r="EK30" i="32"/>
  <c r="EK23" i="32"/>
  <c r="EC8" i="32"/>
  <c r="EC7" i="32"/>
  <c r="ES8" i="32"/>
  <c r="ES7" i="32"/>
  <c r="EC9" i="32"/>
  <c r="EC10" i="32"/>
  <c r="ES9" i="32"/>
  <c r="ES10" i="32"/>
  <c r="EC19" i="32"/>
  <c r="EC20" i="32"/>
  <c r="ES19" i="32"/>
  <c r="ES20" i="32"/>
  <c r="DZ11" i="32"/>
  <c r="DZ22" i="32"/>
  <c r="DZ12" i="32"/>
  <c r="DZ33" i="32"/>
  <c r="DZ34" i="32"/>
  <c r="DZ21" i="32"/>
  <c r="EU33" i="32"/>
  <c r="EU21" i="32"/>
  <c r="EU11" i="32"/>
  <c r="EU23" i="32"/>
  <c r="EU29" i="32"/>
  <c r="DR22" i="32"/>
  <c r="DR11" i="32"/>
  <c r="DR33" i="32"/>
  <c r="DR12" i="32"/>
  <c r="DR34" i="32"/>
  <c r="DR21" i="32"/>
  <c r="DV34" i="32"/>
  <c r="DV21" i="32"/>
  <c r="DV11" i="32"/>
  <c r="DV22" i="32"/>
  <c r="DV12" i="32"/>
  <c r="DV33" i="32"/>
  <c r="EL34" i="32"/>
  <c r="EL21" i="32"/>
  <c r="EL11" i="32"/>
  <c r="EL22" i="32"/>
  <c r="EL12" i="32"/>
  <c r="EL33" i="32"/>
  <c r="ED5" i="32"/>
  <c r="ED31" i="32"/>
  <c r="ED6" i="32"/>
  <c r="ED17" i="32"/>
  <c r="ED18" i="32"/>
  <c r="ED32" i="32"/>
  <c r="DV24" i="32"/>
  <c r="DV29" i="32"/>
  <c r="DV30" i="32"/>
  <c r="DV23" i="32"/>
  <c r="EL24" i="32"/>
  <c r="EL29" i="32"/>
  <c r="EL30" i="32"/>
  <c r="EL23" i="32"/>
  <c r="ED7" i="32"/>
  <c r="ED8" i="32"/>
  <c r="ED9" i="32"/>
  <c r="ED10" i="32"/>
  <c r="ED19" i="32"/>
  <c r="ED20" i="32"/>
  <c r="CK5" i="32"/>
  <c r="CY10" i="32"/>
  <c r="CR9" i="32"/>
  <c r="CQ11" i="32"/>
  <c r="CZ14" i="32"/>
  <c r="DH13" i="32"/>
  <c r="CZ12" i="32"/>
  <c r="CR11" i="32"/>
  <c r="DN10" i="32"/>
  <c r="CZ10" i="32"/>
  <c r="DH11" i="32"/>
  <c r="CR13" i="32"/>
  <c r="DH9" i="32"/>
  <c r="CQ5" i="32"/>
  <c r="DG5" i="32"/>
  <c r="CY6" i="32"/>
  <c r="CQ7" i="32"/>
  <c r="DG7" i="32"/>
  <c r="CY8" i="32"/>
  <c r="CQ9" i="32"/>
  <c r="DG9" i="32"/>
  <c r="CY12" i="32"/>
  <c r="CQ13" i="32"/>
  <c r="DG13" i="32"/>
  <c r="CY14" i="32"/>
  <c r="CR10" i="32"/>
  <c r="DH10" i="32"/>
  <c r="CX10" i="32"/>
  <c r="CZ11" i="32"/>
  <c r="CW10" i="32"/>
  <c r="CO11" i="32"/>
  <c r="DE11" i="32"/>
  <c r="CW12" i="32"/>
  <c r="CO13" i="32"/>
  <c r="DE13" i="32"/>
  <c r="CW14" i="32"/>
  <c r="CS11" i="32"/>
  <c r="DI11" i="32"/>
  <c r="CM13" i="32"/>
  <c r="DC13" i="32"/>
  <c r="CQ10" i="32"/>
  <c r="DG10" i="32"/>
  <c r="CY11" i="32"/>
  <c r="CQ12" i="32"/>
  <c r="DG12" i="32"/>
  <c r="CY13" i="32"/>
  <c r="DK5" i="32"/>
  <c r="CP11" i="32"/>
  <c r="DF11" i="32"/>
  <c r="DA5" i="32"/>
  <c r="CS6" i="32"/>
  <c r="DI6" i="32"/>
  <c r="DA9" i="32"/>
  <c r="CS10" i="32"/>
  <c r="DI10" i="32"/>
  <c r="DA11" i="32"/>
  <c r="CS12" i="32"/>
  <c r="DI12" i="32"/>
  <c r="DA13" i="32"/>
  <c r="CS14" i="32"/>
  <c r="DI14" i="32"/>
  <c r="CO7" i="32"/>
  <c r="DE7" i="32"/>
  <c r="CX12" i="32"/>
  <c r="DG11" i="32"/>
  <c r="DG8" i="32"/>
  <c r="CZ6" i="32"/>
  <c r="CQ6" i="32"/>
  <c r="CQ8" i="32"/>
  <c r="CY5" i="32"/>
  <c r="CK8" i="32"/>
  <c r="CU5" i="32"/>
  <c r="DD10" i="32"/>
  <c r="CY7" i="32"/>
  <c r="CN10" i="32"/>
  <c r="DG6" i="32"/>
  <c r="CY9" i="32"/>
  <c r="CR12" i="32"/>
  <c r="DH12" i="32"/>
  <c r="CZ13" i="32"/>
  <c r="CP13" i="32"/>
  <c r="DF13" i="32"/>
  <c r="CR14" i="32"/>
  <c r="DH14" i="32"/>
  <c r="DA7" i="32"/>
  <c r="CS8" i="32"/>
  <c r="DI8" i="32"/>
  <c r="DB5" i="32"/>
  <c r="CT6" i="32"/>
  <c r="DB7" i="32"/>
  <c r="CT8" i="32"/>
  <c r="CT10" i="32"/>
  <c r="DJ6" i="32"/>
  <c r="DJ8" i="32"/>
  <c r="DB9" i="32"/>
  <c r="CO5" i="32"/>
  <c r="CR5" i="32"/>
  <c r="DH5" i="32"/>
  <c r="CR7" i="32"/>
  <c r="DH7" i="32"/>
  <c r="CZ8" i="32"/>
  <c r="CS7" i="32"/>
  <c r="DI7" i="32"/>
  <c r="DA8" i="32"/>
  <c r="CS9" i="32"/>
  <c r="DI9" i="32"/>
  <c r="DA10" i="32"/>
  <c r="DA12" i="32"/>
  <c r="CS13" i="32"/>
  <c r="DI13" i="32"/>
  <c r="DA14" i="32"/>
  <c r="CS5" i="32"/>
  <c r="CT5" i="32"/>
  <c r="DJ5" i="32"/>
  <c r="DB6" i="32"/>
  <c r="CT7" i="32"/>
  <c r="DJ7" i="32"/>
  <c r="DB8" i="32"/>
  <c r="CT9" i="32"/>
  <c r="DJ9" i="32"/>
  <c r="DB10" i="32"/>
  <c r="CT11" i="32"/>
  <c r="DJ11" i="32"/>
  <c r="DB12" i="32"/>
  <c r="CT13" i="32"/>
  <c r="DJ13" i="32"/>
  <c r="DB14" i="32"/>
  <c r="DM6" i="32"/>
  <c r="DM8" i="32"/>
  <c r="DM10" i="32"/>
  <c r="DM12" i="32"/>
  <c r="DM14" i="32"/>
  <c r="CK6" i="32"/>
  <c r="CK10" i="32"/>
  <c r="CK12" i="32"/>
  <c r="CK14" i="32"/>
  <c r="CM6" i="32"/>
  <c r="DC6" i="32"/>
  <c r="CU7" i="32"/>
  <c r="DK7" i="32"/>
  <c r="CM8" i="32"/>
  <c r="DC8" i="32"/>
  <c r="CU9" i="32"/>
  <c r="DK9" i="32"/>
  <c r="CM10" i="32"/>
  <c r="DC10" i="32"/>
  <c r="CU11" i="32"/>
  <c r="DK11" i="32"/>
  <c r="CM12" i="32"/>
  <c r="DC12" i="32"/>
  <c r="CU13" i="32"/>
  <c r="DK13" i="32"/>
  <c r="CM14" i="32"/>
  <c r="DC14" i="32"/>
  <c r="DA6" i="32"/>
  <c r="DN6" i="32"/>
  <c r="DN14" i="32"/>
  <c r="CL8" i="32"/>
  <c r="CW5" i="32"/>
  <c r="CO6" i="32"/>
  <c r="DE6" i="32"/>
  <c r="CW7" i="32"/>
  <c r="CO8" i="32"/>
  <c r="DE8" i="32"/>
  <c r="CW9" i="32"/>
  <c r="CO10" i="32"/>
  <c r="DE10" i="32"/>
  <c r="CW11" i="32"/>
  <c r="CO12" i="32"/>
  <c r="DE12" i="32"/>
  <c r="CW13" i="32"/>
  <c r="CO14" i="32"/>
  <c r="DE14" i="32"/>
  <c r="DN8" i="32"/>
  <c r="DN12" i="32"/>
  <c r="CL6" i="32"/>
  <c r="CL10" i="32"/>
  <c r="CL12" i="32"/>
  <c r="CL14" i="32"/>
  <c r="CX5" i="32"/>
  <c r="CP6" i="32"/>
  <c r="DF6" i="32"/>
  <c r="CX7" i="32"/>
  <c r="CP8" i="32"/>
  <c r="DF8" i="32"/>
  <c r="CX9" i="32"/>
  <c r="CP10" i="32"/>
  <c r="DF10" i="32"/>
  <c r="CX11" i="32"/>
  <c r="CP12" i="32"/>
  <c r="DF12" i="32"/>
  <c r="CX13" i="32"/>
  <c r="CP14" i="32"/>
  <c r="DF14" i="32"/>
  <c r="CQ14" i="32"/>
  <c r="DG14" i="32"/>
  <c r="DI5" i="32"/>
  <c r="CZ5" i="32"/>
  <c r="CP5" i="32"/>
  <c r="DF5" i="32"/>
  <c r="CV5" i="32"/>
  <c r="DL5" i="32"/>
  <c r="CR6" i="32"/>
  <c r="DH6" i="32"/>
  <c r="CX6" i="32"/>
  <c r="CN6" i="32"/>
  <c r="DD6" i="32"/>
  <c r="CZ7" i="32"/>
  <c r="CP7" i="32"/>
  <c r="DF7" i="32"/>
  <c r="CV7" i="32"/>
  <c r="DL7" i="32"/>
  <c r="CR8" i="32"/>
  <c r="DH8" i="32"/>
  <c r="CX8" i="32"/>
  <c r="CN8" i="32"/>
  <c r="DD8" i="32"/>
  <c r="CZ9" i="32"/>
  <c r="CP9" i="32"/>
  <c r="DF9" i="32"/>
  <c r="CV9" i="32"/>
  <c r="DL9" i="32"/>
  <c r="CV11" i="32"/>
  <c r="DL11" i="32"/>
  <c r="CN12" i="32"/>
  <c r="DD12" i="32"/>
  <c r="CV13" i="32"/>
  <c r="DL13" i="32"/>
  <c r="CX14" i="32"/>
  <c r="CN14" i="32"/>
  <c r="DD14" i="32"/>
  <c r="DJ10" i="32"/>
  <c r="DB11" i="32"/>
  <c r="CT12" i="32"/>
  <c r="DJ12" i="32"/>
  <c r="DB13" i="32"/>
  <c r="CT14" i="32"/>
  <c r="DJ14" i="32"/>
  <c r="DM5" i="32"/>
  <c r="DM7" i="32"/>
  <c r="DM9" i="32"/>
  <c r="DM11" i="32"/>
  <c r="DM13" i="32"/>
  <c r="CL5" i="32"/>
  <c r="CK7" i="32"/>
  <c r="CK9" i="32"/>
  <c r="CK11" i="32"/>
  <c r="CK13" i="32"/>
  <c r="CM5" i="32"/>
  <c r="DC5" i="32"/>
  <c r="CU6" i="32"/>
  <c r="DK6" i="32"/>
  <c r="CM7" i="32"/>
  <c r="DC7" i="32"/>
  <c r="CU8" i="32"/>
  <c r="DK8" i="32"/>
  <c r="CM9" i="32"/>
  <c r="DC9" i="32"/>
  <c r="CU10" i="32"/>
  <c r="DK10" i="32"/>
  <c r="CM11" i="32"/>
  <c r="DC11" i="32"/>
  <c r="CU12" i="32"/>
  <c r="DK12" i="32"/>
  <c r="CU14" i="32"/>
  <c r="DK14" i="32"/>
  <c r="DN5" i="32"/>
  <c r="DN7" i="32"/>
  <c r="DN9" i="32"/>
  <c r="DN11" i="32"/>
  <c r="DN13" i="32"/>
  <c r="CL7" i="32"/>
  <c r="CL9" i="32"/>
  <c r="CL11" i="32"/>
  <c r="CL13" i="32"/>
  <c r="CN5" i="32"/>
  <c r="DD5" i="32"/>
  <c r="CV6" i="32"/>
  <c r="DL6" i="32"/>
  <c r="CN7" i="32"/>
  <c r="DD7" i="32"/>
  <c r="CV8" i="32"/>
  <c r="DL8" i="32"/>
  <c r="CN9" i="32"/>
  <c r="DD9" i="32"/>
  <c r="CV10" i="32"/>
  <c r="DL10" i="32"/>
  <c r="CN11" i="32"/>
  <c r="DD11" i="32"/>
  <c r="CV12" i="32"/>
  <c r="DL12" i="32"/>
  <c r="CN13" i="32"/>
  <c r="DD13" i="32"/>
  <c r="CV14" i="32"/>
  <c r="DL14" i="32"/>
  <c r="DE5" i="32"/>
  <c r="CW6" i="32"/>
  <c r="CW8" i="32"/>
  <c r="CO9" i="32"/>
  <c r="DE9" i="32"/>
  <c r="I17" i="32"/>
  <c r="I18" i="32"/>
  <c r="I11" i="32"/>
  <c r="I16" i="32"/>
  <c r="I35" i="32"/>
  <c r="I40" i="32"/>
  <c r="I46" i="32"/>
  <c r="I14" i="32"/>
  <c r="I19" i="32"/>
  <c r="I44" i="32"/>
  <c r="I28" i="32"/>
  <c r="I42" i="32"/>
  <c r="I43" i="32"/>
  <c r="I39" i="32"/>
  <c r="I32" i="32"/>
  <c r="I20" i="32"/>
  <c r="I41" i="32"/>
  <c r="I23" i="32"/>
  <c r="I47" i="32"/>
  <c r="I27" i="32"/>
  <c r="I31" i="32"/>
  <c r="I29" i="32"/>
  <c r="I22" i="32"/>
  <c r="I21" i="32"/>
  <c r="I13" i="32"/>
  <c r="I45" i="32"/>
  <c r="I34" i="32"/>
  <c r="I7" i="32"/>
  <c r="I6" i="32"/>
  <c r="I38" i="32"/>
  <c r="I10" i="32"/>
  <c r="I12" i="32"/>
  <c r="I24" i="32"/>
  <c r="I25" i="32"/>
  <c r="I26" i="32"/>
  <c r="I9" i="32"/>
  <c r="I5" i="32"/>
  <c r="I15" i="32"/>
  <c r="I30" i="32"/>
  <c r="I33" i="32"/>
  <c r="C10" i="31"/>
  <c r="C17" i="31"/>
  <c r="R7" i="34" l="1"/>
  <c r="R18" i="34" s="1"/>
  <c r="R8" i="34"/>
  <c r="S18" i="34"/>
  <c r="EY5" i="32"/>
  <c r="AU8" i="32"/>
  <c r="AU14" i="32"/>
  <c r="AU7" i="32"/>
  <c r="AU12" i="32"/>
  <c r="AU6" i="32"/>
  <c r="AU11" i="32"/>
  <c r="AU10" i="32"/>
  <c r="AU13" i="32"/>
  <c r="AU9" i="32"/>
  <c r="AU5" i="32"/>
  <c r="EY29" i="32"/>
  <c r="EY23" i="32"/>
  <c r="AS32" i="32"/>
  <c r="AS34" i="32"/>
  <c r="EY11" i="32"/>
  <c r="EY9" i="32"/>
  <c r="EY19" i="32"/>
  <c r="EY17" i="32"/>
  <c r="EY31" i="32"/>
  <c r="EY21" i="32"/>
  <c r="EY33" i="32"/>
  <c r="EY7" i="32" l="1"/>
  <c r="CG14" i="20" l="1"/>
  <c r="F2" i="31"/>
  <c r="GI33" i="30"/>
  <c r="GI31" i="30"/>
  <c r="GI29" i="30"/>
  <c r="GI23" i="30"/>
  <c r="GI21" i="30"/>
  <c r="GI19" i="30"/>
  <c r="GI17" i="30"/>
  <c r="GI11" i="30"/>
  <c r="GI9" i="30"/>
  <c r="GI7" i="30"/>
  <c r="GI5" i="30"/>
  <c r="DA44" i="30"/>
  <c r="CZ44" i="30"/>
  <c r="CY44" i="30"/>
  <c r="CX44" i="30"/>
  <c r="CW44" i="30"/>
  <c r="CV44" i="30"/>
  <c r="CU44" i="30"/>
  <c r="CT44" i="30"/>
  <c r="CS44" i="30"/>
  <c r="CR44" i="30"/>
  <c r="CQ44" i="30"/>
  <c r="CP44" i="30"/>
  <c r="CO44" i="30"/>
  <c r="CN44" i="30"/>
  <c r="CM44" i="30"/>
  <c r="CL44" i="30"/>
  <c r="CK44" i="30"/>
  <c r="CJ44" i="30"/>
  <c r="CI44" i="30"/>
  <c r="CH44" i="30"/>
  <c r="CG44" i="30"/>
  <c r="CF44" i="30"/>
  <c r="CE44" i="30"/>
  <c r="CD44" i="30"/>
  <c r="CC44" i="30"/>
  <c r="CB44" i="30"/>
  <c r="CA44" i="30"/>
  <c r="BZ44" i="30"/>
  <c r="BY44" i="30"/>
  <c r="BX44" i="30"/>
  <c r="BW44" i="30"/>
  <c r="BV44" i="30"/>
  <c r="BU44" i="30"/>
  <c r="BT44" i="30"/>
  <c r="BS44" i="30"/>
  <c r="BR44" i="30"/>
  <c r="BQ44" i="30"/>
  <c r="BP44" i="30"/>
  <c r="BO44" i="30"/>
  <c r="BN44" i="30"/>
  <c r="DA43" i="30"/>
  <c r="CZ43" i="30"/>
  <c r="CY43" i="30"/>
  <c r="CX43" i="30"/>
  <c r="CW43" i="30"/>
  <c r="CV43" i="30"/>
  <c r="CU43" i="30"/>
  <c r="CT43" i="30"/>
  <c r="CS43" i="30"/>
  <c r="CR43" i="30"/>
  <c r="CQ43" i="30"/>
  <c r="CP43" i="30"/>
  <c r="CO43" i="30"/>
  <c r="CN43" i="30"/>
  <c r="CM43" i="30"/>
  <c r="CL43" i="30"/>
  <c r="CK43" i="30"/>
  <c r="CJ43" i="30"/>
  <c r="CI43" i="30"/>
  <c r="CH43" i="30"/>
  <c r="CG43" i="30"/>
  <c r="CF43" i="30"/>
  <c r="CE43" i="30"/>
  <c r="CD43" i="30"/>
  <c r="CC43" i="30"/>
  <c r="CB43" i="30"/>
  <c r="CA43" i="30"/>
  <c r="BZ43" i="30"/>
  <c r="BY43" i="30"/>
  <c r="BX43" i="30"/>
  <c r="BW43" i="30"/>
  <c r="BV43" i="30"/>
  <c r="BU43" i="30"/>
  <c r="BT43" i="30"/>
  <c r="BS43" i="30"/>
  <c r="BR43" i="30"/>
  <c r="BQ43" i="30"/>
  <c r="BP43" i="30"/>
  <c r="BO43" i="30"/>
  <c r="BN43" i="30"/>
  <c r="DA42" i="30"/>
  <c r="CZ42" i="30"/>
  <c r="CY42" i="30"/>
  <c r="CX42" i="30"/>
  <c r="CW42" i="30"/>
  <c r="CV42" i="30"/>
  <c r="CU42" i="30"/>
  <c r="CT42" i="30"/>
  <c r="CS42" i="30"/>
  <c r="CR42" i="30"/>
  <c r="CQ42" i="30"/>
  <c r="CP42" i="30"/>
  <c r="CO42" i="30"/>
  <c r="CN42" i="30"/>
  <c r="CM42" i="30"/>
  <c r="CL42" i="30"/>
  <c r="CK42" i="30"/>
  <c r="CJ42" i="30"/>
  <c r="CI42" i="30"/>
  <c r="CH42" i="30"/>
  <c r="CG42" i="30"/>
  <c r="CF42" i="30"/>
  <c r="CE42" i="30"/>
  <c r="CD42" i="30"/>
  <c r="CC42" i="30"/>
  <c r="CB42" i="30"/>
  <c r="CA42" i="30"/>
  <c r="BZ42" i="30"/>
  <c r="BY42" i="30"/>
  <c r="BX42" i="30"/>
  <c r="BW42" i="30"/>
  <c r="BV42" i="30"/>
  <c r="BU42" i="30"/>
  <c r="BT42" i="30"/>
  <c r="BS42" i="30"/>
  <c r="BR42" i="30"/>
  <c r="BQ42" i="30"/>
  <c r="BP42" i="30"/>
  <c r="BO42" i="30"/>
  <c r="BN42" i="30"/>
  <c r="DA41" i="30"/>
  <c r="CZ41" i="30"/>
  <c r="CY41" i="30"/>
  <c r="CX41" i="30"/>
  <c r="CW41" i="30"/>
  <c r="CV41" i="30"/>
  <c r="CU41" i="30"/>
  <c r="CT41" i="30"/>
  <c r="GB8" i="30" s="1"/>
  <c r="CS41" i="30"/>
  <c r="CR41" i="30"/>
  <c r="CQ41" i="30"/>
  <c r="FY8" i="30" s="1"/>
  <c r="CP41" i="30"/>
  <c r="CO41" i="30"/>
  <c r="CN41" i="30"/>
  <c r="CM41" i="30"/>
  <c r="CL41" i="30"/>
  <c r="CK41" i="30"/>
  <c r="CJ41" i="30"/>
  <c r="CI41" i="30"/>
  <c r="CH41" i="30"/>
  <c r="CG41" i="30"/>
  <c r="CF41" i="30"/>
  <c r="CE41" i="30"/>
  <c r="CD41" i="30"/>
  <c r="FL8" i="30" s="1"/>
  <c r="CC41" i="30"/>
  <c r="CB41" i="30"/>
  <c r="CA41" i="30"/>
  <c r="BZ41" i="30"/>
  <c r="BY41" i="30"/>
  <c r="BX41" i="30"/>
  <c r="BW41" i="30"/>
  <c r="BV41" i="30"/>
  <c r="BU41" i="30"/>
  <c r="BT41" i="30"/>
  <c r="BS41" i="30"/>
  <c r="BR41" i="30"/>
  <c r="BQ41" i="30"/>
  <c r="BP41" i="30"/>
  <c r="BO41" i="30"/>
  <c r="BN41" i="30"/>
  <c r="DA40" i="30"/>
  <c r="CZ40" i="30"/>
  <c r="CY40" i="30"/>
  <c r="CX40" i="30"/>
  <c r="CW40" i="30"/>
  <c r="CV40" i="30"/>
  <c r="CU40" i="30"/>
  <c r="CT40" i="30"/>
  <c r="CS40" i="30"/>
  <c r="CR40" i="30"/>
  <c r="CQ40" i="30"/>
  <c r="CP40" i="30"/>
  <c r="CO40" i="30"/>
  <c r="CN40" i="30"/>
  <c r="CM40" i="30"/>
  <c r="CL40" i="30"/>
  <c r="CK40" i="30"/>
  <c r="CJ40" i="30"/>
  <c r="CI40" i="30"/>
  <c r="CH40" i="30"/>
  <c r="CG40" i="30"/>
  <c r="CF40" i="30"/>
  <c r="CE40" i="30"/>
  <c r="CD40" i="30"/>
  <c r="CC40" i="30"/>
  <c r="CB40" i="30"/>
  <c r="CA40" i="30"/>
  <c r="BZ40" i="30"/>
  <c r="BY40" i="30"/>
  <c r="BX40" i="30"/>
  <c r="BW40" i="30"/>
  <c r="BV40" i="30"/>
  <c r="BU40" i="30"/>
  <c r="BT40" i="30"/>
  <c r="BS40" i="30"/>
  <c r="BR40" i="30"/>
  <c r="BQ40" i="30"/>
  <c r="BP40" i="30"/>
  <c r="BO40" i="30"/>
  <c r="BN40" i="30"/>
  <c r="DA39" i="30"/>
  <c r="CZ39" i="30"/>
  <c r="CY39" i="30"/>
  <c r="CX39" i="30"/>
  <c r="CW39" i="30"/>
  <c r="CV39" i="30"/>
  <c r="CU39" i="30"/>
  <c r="CT39" i="30"/>
  <c r="CS39" i="30"/>
  <c r="CR39" i="30"/>
  <c r="CQ39" i="30"/>
  <c r="CP39" i="30"/>
  <c r="CO39" i="30"/>
  <c r="CN39" i="30"/>
  <c r="CM39" i="30"/>
  <c r="CL39" i="30"/>
  <c r="CK39" i="30"/>
  <c r="CJ39" i="30"/>
  <c r="CI39" i="30"/>
  <c r="CH39" i="30"/>
  <c r="CG39" i="30"/>
  <c r="CF39" i="30"/>
  <c r="CE39" i="30"/>
  <c r="CD39" i="30"/>
  <c r="CC39" i="30"/>
  <c r="CB39" i="30"/>
  <c r="CA39" i="30"/>
  <c r="BZ39" i="30"/>
  <c r="BY39" i="30"/>
  <c r="BX39" i="30"/>
  <c r="BW39" i="30"/>
  <c r="BV39" i="30"/>
  <c r="BU39" i="30"/>
  <c r="BT39" i="30"/>
  <c r="BS39" i="30"/>
  <c r="BR39" i="30"/>
  <c r="BQ39" i="30"/>
  <c r="BP39" i="30"/>
  <c r="BO39" i="30"/>
  <c r="BN39" i="30"/>
  <c r="DA38" i="30"/>
  <c r="CZ38" i="30"/>
  <c r="CY38" i="30"/>
  <c r="CX38" i="30"/>
  <c r="CW38" i="30"/>
  <c r="CV38" i="30"/>
  <c r="CU38" i="30"/>
  <c r="CT38" i="30"/>
  <c r="CS38" i="30"/>
  <c r="CR38" i="30"/>
  <c r="CQ38" i="30"/>
  <c r="CP38" i="30"/>
  <c r="CO38" i="30"/>
  <c r="CN38" i="30"/>
  <c r="CM38" i="30"/>
  <c r="CL38" i="30"/>
  <c r="CK38" i="30"/>
  <c r="CJ38" i="30"/>
  <c r="CI38" i="30"/>
  <c r="CH38" i="30"/>
  <c r="CG38" i="30"/>
  <c r="CF38" i="30"/>
  <c r="CE38" i="30"/>
  <c r="CD38" i="30"/>
  <c r="CC38" i="30"/>
  <c r="CB38" i="30"/>
  <c r="CA38" i="30"/>
  <c r="BZ38" i="30"/>
  <c r="BY38" i="30"/>
  <c r="BX38" i="30"/>
  <c r="BW38" i="30"/>
  <c r="BV38" i="30"/>
  <c r="BU38" i="30"/>
  <c r="BT38" i="30"/>
  <c r="BS38" i="30"/>
  <c r="BR38" i="30"/>
  <c r="BQ38" i="30"/>
  <c r="BP38" i="30"/>
  <c r="BO38" i="30"/>
  <c r="BN38" i="30"/>
  <c r="DA37" i="30"/>
  <c r="CZ37" i="30"/>
  <c r="CY37" i="30"/>
  <c r="CX37" i="30"/>
  <c r="CW37" i="30"/>
  <c r="CV37" i="30"/>
  <c r="CU37" i="30"/>
  <c r="CT37" i="30"/>
  <c r="CS37" i="30"/>
  <c r="CR37" i="30"/>
  <c r="CQ37" i="30"/>
  <c r="CP37" i="30"/>
  <c r="CO37" i="30"/>
  <c r="CN37" i="30"/>
  <c r="CM37" i="30"/>
  <c r="CL37" i="30"/>
  <c r="CK37" i="30"/>
  <c r="CJ37" i="30"/>
  <c r="CI37" i="30"/>
  <c r="CH37" i="30"/>
  <c r="CG37" i="30"/>
  <c r="CF37" i="30"/>
  <c r="CE37" i="30"/>
  <c r="CD37" i="30"/>
  <c r="CC37" i="30"/>
  <c r="CB37" i="30"/>
  <c r="CA37" i="30"/>
  <c r="BZ37" i="30"/>
  <c r="BY37" i="30"/>
  <c r="BX37" i="30"/>
  <c r="BW37" i="30"/>
  <c r="BV37" i="30"/>
  <c r="BU37" i="30"/>
  <c r="BT37" i="30"/>
  <c r="BS37" i="30"/>
  <c r="BR37" i="30"/>
  <c r="BQ37" i="30"/>
  <c r="BP37" i="30"/>
  <c r="BO37" i="30"/>
  <c r="BN37" i="30"/>
  <c r="DA36" i="30"/>
  <c r="CZ36" i="30"/>
  <c r="CY36" i="30"/>
  <c r="CX36" i="30"/>
  <c r="CW36" i="30"/>
  <c r="CV36" i="30"/>
  <c r="CU36" i="30"/>
  <c r="CT36" i="30"/>
  <c r="CS36" i="30"/>
  <c r="CR36" i="30"/>
  <c r="CQ36" i="30"/>
  <c r="CP36" i="30"/>
  <c r="CO36" i="30"/>
  <c r="CN36" i="30"/>
  <c r="CM36" i="30"/>
  <c r="CL36" i="30"/>
  <c r="CK36" i="30"/>
  <c r="CJ36" i="30"/>
  <c r="CI36" i="30"/>
  <c r="CH36" i="30"/>
  <c r="CG36" i="30"/>
  <c r="CF36" i="30"/>
  <c r="CE36" i="30"/>
  <c r="CD36" i="30"/>
  <c r="CC36" i="30"/>
  <c r="CB36" i="30"/>
  <c r="CA36" i="30"/>
  <c r="BZ36" i="30"/>
  <c r="BY36" i="30"/>
  <c r="BX36" i="30"/>
  <c r="BW36" i="30"/>
  <c r="BV36" i="30"/>
  <c r="BU36" i="30"/>
  <c r="BT36" i="30"/>
  <c r="BS36" i="30"/>
  <c r="BR36" i="30"/>
  <c r="BQ36" i="30"/>
  <c r="BP36" i="30"/>
  <c r="BO36" i="30"/>
  <c r="BN36" i="30"/>
  <c r="DA35" i="30"/>
  <c r="CZ35" i="30"/>
  <c r="CY35" i="30"/>
  <c r="CX35" i="30"/>
  <c r="CW35" i="30"/>
  <c r="CV35" i="30"/>
  <c r="CU35" i="30"/>
  <c r="CT35" i="30"/>
  <c r="CS35" i="30"/>
  <c r="CR35" i="30"/>
  <c r="CQ35" i="30"/>
  <c r="CP35" i="30"/>
  <c r="CO35" i="30"/>
  <c r="CN35" i="30"/>
  <c r="CM35" i="30"/>
  <c r="CL35" i="30"/>
  <c r="CK35" i="30"/>
  <c r="CJ35" i="30"/>
  <c r="CI35" i="30"/>
  <c r="CH35" i="30"/>
  <c r="CG35" i="30"/>
  <c r="CF35" i="30"/>
  <c r="CE35" i="30"/>
  <c r="CD35" i="30"/>
  <c r="CC35" i="30"/>
  <c r="CB35" i="30"/>
  <c r="CA35" i="30"/>
  <c r="BZ35" i="30"/>
  <c r="BY35" i="30"/>
  <c r="BX35" i="30"/>
  <c r="BW35" i="30"/>
  <c r="BV35" i="30"/>
  <c r="BU35" i="30"/>
  <c r="BT35" i="30"/>
  <c r="BS35" i="30"/>
  <c r="BR35" i="30"/>
  <c r="BQ35" i="30"/>
  <c r="BP35" i="30"/>
  <c r="BO35" i="30"/>
  <c r="BN35" i="30"/>
  <c r="DA34" i="30"/>
  <c r="CZ34" i="30"/>
  <c r="CY34" i="30"/>
  <c r="CX34" i="30"/>
  <c r="CW34" i="30"/>
  <c r="CV34" i="30"/>
  <c r="CU34" i="30"/>
  <c r="CT34" i="30"/>
  <c r="CS34" i="30"/>
  <c r="CR34" i="30"/>
  <c r="CQ34" i="30"/>
  <c r="CP34" i="30"/>
  <c r="CO34" i="30"/>
  <c r="CN34" i="30"/>
  <c r="CM34" i="30"/>
  <c r="CL34" i="30"/>
  <c r="CK34" i="30"/>
  <c r="CJ34" i="30"/>
  <c r="CI34" i="30"/>
  <c r="CH34" i="30"/>
  <c r="CG34" i="30"/>
  <c r="CF34" i="30"/>
  <c r="CE34" i="30"/>
  <c r="CD34" i="30"/>
  <c r="CC34" i="30"/>
  <c r="CB34" i="30"/>
  <c r="CA34" i="30"/>
  <c r="BZ34" i="30"/>
  <c r="BY34" i="30"/>
  <c r="BX34" i="30"/>
  <c r="BW34" i="30"/>
  <c r="BV34" i="30"/>
  <c r="BU34" i="30"/>
  <c r="BT34" i="30"/>
  <c r="BS34" i="30"/>
  <c r="BR34" i="30"/>
  <c r="BQ34" i="30"/>
  <c r="BP34" i="30"/>
  <c r="BO34" i="30"/>
  <c r="BN34" i="30"/>
  <c r="DA33" i="30"/>
  <c r="CZ33" i="30"/>
  <c r="CY33" i="30"/>
  <c r="CX33" i="30"/>
  <c r="CW33" i="30"/>
  <c r="CV33" i="30"/>
  <c r="CU33" i="30"/>
  <c r="CT33" i="30"/>
  <c r="CS33" i="30"/>
  <c r="CR33" i="30"/>
  <c r="CQ33" i="30"/>
  <c r="CP33" i="30"/>
  <c r="CO33" i="30"/>
  <c r="CN33" i="30"/>
  <c r="CM33" i="30"/>
  <c r="CL33" i="30"/>
  <c r="CK33" i="30"/>
  <c r="CJ33" i="30"/>
  <c r="CI33" i="30"/>
  <c r="CH33" i="30"/>
  <c r="CG33" i="30"/>
  <c r="CF33" i="30"/>
  <c r="CE33" i="30"/>
  <c r="CD33" i="30"/>
  <c r="CC33" i="30"/>
  <c r="CB33" i="30"/>
  <c r="CA33" i="30"/>
  <c r="BZ33" i="30"/>
  <c r="BY33" i="30"/>
  <c r="BX33" i="30"/>
  <c r="BW33" i="30"/>
  <c r="BV33" i="30"/>
  <c r="BU33" i="30"/>
  <c r="BT33" i="30"/>
  <c r="BS33" i="30"/>
  <c r="BR33" i="30"/>
  <c r="BQ33" i="30"/>
  <c r="BP33" i="30"/>
  <c r="BO33" i="30"/>
  <c r="BN33" i="30"/>
  <c r="DA32" i="30"/>
  <c r="CZ32" i="30"/>
  <c r="CY32" i="30"/>
  <c r="CX32" i="30"/>
  <c r="CW32" i="30"/>
  <c r="CV32" i="30"/>
  <c r="CU32" i="30"/>
  <c r="CT32" i="30"/>
  <c r="CS32" i="30"/>
  <c r="CR32" i="30"/>
  <c r="CQ32" i="30"/>
  <c r="CP32" i="30"/>
  <c r="CO32" i="30"/>
  <c r="CN32" i="30"/>
  <c r="CM32" i="30"/>
  <c r="CL32" i="30"/>
  <c r="CK32" i="30"/>
  <c r="CJ32" i="30"/>
  <c r="CI32" i="30"/>
  <c r="CH32" i="30"/>
  <c r="CG32" i="30"/>
  <c r="CF32" i="30"/>
  <c r="CE32" i="30"/>
  <c r="CD32" i="30"/>
  <c r="CC32" i="30"/>
  <c r="CB32" i="30"/>
  <c r="CA32" i="30"/>
  <c r="BZ32" i="30"/>
  <c r="BY32" i="30"/>
  <c r="BX32" i="30"/>
  <c r="BW32" i="30"/>
  <c r="BV32" i="30"/>
  <c r="BU32" i="30"/>
  <c r="BT32" i="30"/>
  <c r="BS32" i="30"/>
  <c r="BR32" i="30"/>
  <c r="BQ32" i="30"/>
  <c r="BP32" i="30"/>
  <c r="BO32" i="30"/>
  <c r="BN32" i="30"/>
  <c r="DA31" i="30"/>
  <c r="CZ31" i="30"/>
  <c r="CY31" i="30"/>
  <c r="CX31" i="30"/>
  <c r="CW31" i="30"/>
  <c r="CV31" i="30"/>
  <c r="CU31" i="30"/>
  <c r="CT31" i="30"/>
  <c r="CS31" i="30"/>
  <c r="CR31" i="30"/>
  <c r="CQ31" i="30"/>
  <c r="CP31" i="30"/>
  <c r="CO31" i="30"/>
  <c r="CN31" i="30"/>
  <c r="CM31" i="30"/>
  <c r="CL31" i="30"/>
  <c r="CK31" i="30"/>
  <c r="CJ31" i="30"/>
  <c r="CI31" i="30"/>
  <c r="CH31" i="30"/>
  <c r="CG31" i="30"/>
  <c r="CF31" i="30"/>
  <c r="CE31" i="30"/>
  <c r="CD31" i="30"/>
  <c r="CC31" i="30"/>
  <c r="CB31" i="30"/>
  <c r="CA31" i="30"/>
  <c r="BZ31" i="30"/>
  <c r="BY31" i="30"/>
  <c r="BX31" i="30"/>
  <c r="BW31" i="30"/>
  <c r="BV31" i="30"/>
  <c r="BU31" i="30"/>
  <c r="BT31" i="30"/>
  <c r="BS31" i="30"/>
  <c r="BR31" i="30"/>
  <c r="BQ31" i="30"/>
  <c r="BP31" i="30"/>
  <c r="BO31" i="30"/>
  <c r="BN31" i="30"/>
  <c r="DA30" i="30"/>
  <c r="CZ30" i="30"/>
  <c r="CY30" i="30"/>
  <c r="CX30" i="30"/>
  <c r="CW30" i="30"/>
  <c r="CV30" i="30"/>
  <c r="CU30" i="30"/>
  <c r="CT30" i="30"/>
  <c r="CS30" i="30"/>
  <c r="CR30" i="30"/>
  <c r="CQ30" i="30"/>
  <c r="CP30" i="30"/>
  <c r="CO30" i="30"/>
  <c r="CN30" i="30"/>
  <c r="CM30" i="30"/>
  <c r="CL30" i="30"/>
  <c r="CK30" i="30"/>
  <c r="CJ30" i="30"/>
  <c r="CI30" i="30"/>
  <c r="CH30" i="30"/>
  <c r="CG30" i="30"/>
  <c r="CF30" i="30"/>
  <c r="CE30" i="30"/>
  <c r="CD30" i="30"/>
  <c r="CC30" i="30"/>
  <c r="CB30" i="30"/>
  <c r="CA30" i="30"/>
  <c r="BZ30" i="30"/>
  <c r="BY30" i="30"/>
  <c r="BX30" i="30"/>
  <c r="BW30" i="30"/>
  <c r="BV30" i="30"/>
  <c r="BU30" i="30"/>
  <c r="BT30" i="30"/>
  <c r="BS30" i="30"/>
  <c r="BR30" i="30"/>
  <c r="BQ30" i="30"/>
  <c r="BP30" i="30"/>
  <c r="BO30" i="30"/>
  <c r="BN30" i="30"/>
  <c r="DA29" i="30"/>
  <c r="CZ29" i="30"/>
  <c r="CY29" i="30"/>
  <c r="CX29" i="30"/>
  <c r="CW29" i="30"/>
  <c r="CV29" i="30"/>
  <c r="CU29" i="30"/>
  <c r="CT29" i="30"/>
  <c r="CS29" i="30"/>
  <c r="CR29" i="30"/>
  <c r="FZ20" i="30" s="1"/>
  <c r="CQ29" i="30"/>
  <c r="CP29" i="30"/>
  <c r="CO29" i="30"/>
  <c r="CN29" i="30"/>
  <c r="CM29" i="30"/>
  <c r="CL29" i="30"/>
  <c r="CK29" i="30"/>
  <c r="CJ29" i="30"/>
  <c r="CI29" i="30"/>
  <c r="CH29" i="30"/>
  <c r="CG29" i="30"/>
  <c r="CF29" i="30"/>
  <c r="CE29" i="30"/>
  <c r="CD29" i="30"/>
  <c r="CC29" i="30"/>
  <c r="FK20" i="30" s="1"/>
  <c r="CB29" i="30"/>
  <c r="CA29" i="30"/>
  <c r="FI20" i="30" s="1"/>
  <c r="BZ29" i="30"/>
  <c r="BY29" i="30"/>
  <c r="BX29" i="30"/>
  <c r="BW29" i="30"/>
  <c r="BV29" i="30"/>
  <c r="BU29" i="30"/>
  <c r="BT29" i="30"/>
  <c r="BS29" i="30"/>
  <c r="BR29" i="30"/>
  <c r="BQ29" i="30"/>
  <c r="BP29" i="30"/>
  <c r="BO29" i="30"/>
  <c r="BN29" i="30"/>
  <c r="DA28" i="30"/>
  <c r="CZ28" i="30"/>
  <c r="CY28" i="30"/>
  <c r="CX28" i="30"/>
  <c r="CW28" i="30"/>
  <c r="CV28" i="30"/>
  <c r="CU28" i="30"/>
  <c r="CT28" i="30"/>
  <c r="CS28" i="30"/>
  <c r="CR28" i="30"/>
  <c r="CQ28" i="30"/>
  <c r="CP28" i="30"/>
  <c r="CO28" i="30"/>
  <c r="CN28" i="30"/>
  <c r="CM28" i="30"/>
  <c r="CL28" i="30"/>
  <c r="CK28" i="30"/>
  <c r="CJ28" i="30"/>
  <c r="CI28" i="30"/>
  <c r="CH28" i="30"/>
  <c r="CG28" i="30"/>
  <c r="CF28" i="30"/>
  <c r="CE28" i="30"/>
  <c r="CD28" i="30"/>
  <c r="CC28" i="30"/>
  <c r="CB28" i="30"/>
  <c r="CA28" i="30"/>
  <c r="BZ28" i="30"/>
  <c r="BY28" i="30"/>
  <c r="BX28" i="30"/>
  <c r="BW28" i="30"/>
  <c r="BV28" i="30"/>
  <c r="BU28" i="30"/>
  <c r="BT28" i="30"/>
  <c r="BS28" i="30"/>
  <c r="BR28" i="30"/>
  <c r="BQ28" i="30"/>
  <c r="BP28" i="30"/>
  <c r="BO28" i="30"/>
  <c r="BN28" i="30"/>
  <c r="DA27" i="30"/>
  <c r="CZ27" i="30"/>
  <c r="CY27" i="30"/>
  <c r="CX27" i="30"/>
  <c r="CW27" i="30"/>
  <c r="CV27" i="30"/>
  <c r="CU27" i="30"/>
  <c r="CT27" i="30"/>
  <c r="CS27" i="30"/>
  <c r="CR27" i="30"/>
  <c r="CQ27" i="30"/>
  <c r="CP27" i="30"/>
  <c r="CO27" i="30"/>
  <c r="CN27" i="30"/>
  <c r="CM27" i="30"/>
  <c r="CL27" i="30"/>
  <c r="CK27" i="30"/>
  <c r="CJ27" i="30"/>
  <c r="CI27" i="30"/>
  <c r="CH27" i="30"/>
  <c r="CG27" i="30"/>
  <c r="CF27" i="30"/>
  <c r="CE27" i="30"/>
  <c r="CD27" i="30"/>
  <c r="CC27" i="30"/>
  <c r="CB27" i="30"/>
  <c r="CA27" i="30"/>
  <c r="BZ27" i="30"/>
  <c r="BY27" i="30"/>
  <c r="BX27" i="30"/>
  <c r="BW27" i="30"/>
  <c r="BV27" i="30"/>
  <c r="BU27" i="30"/>
  <c r="BT27" i="30"/>
  <c r="BS27" i="30"/>
  <c r="BR27" i="30"/>
  <c r="BQ27" i="30"/>
  <c r="BP27" i="30"/>
  <c r="BO27" i="30"/>
  <c r="BN27" i="30"/>
  <c r="DA26" i="30"/>
  <c r="CZ26" i="30"/>
  <c r="CY26" i="30"/>
  <c r="CX26" i="30"/>
  <c r="CW26" i="30"/>
  <c r="CV26" i="30"/>
  <c r="CU26" i="30"/>
  <c r="CT26" i="30"/>
  <c r="CS26" i="30"/>
  <c r="CR26" i="30"/>
  <c r="CQ26" i="30"/>
  <c r="CP26" i="30"/>
  <c r="CO26" i="30"/>
  <c r="CN26" i="30"/>
  <c r="CM26" i="30"/>
  <c r="CL26" i="30"/>
  <c r="CK26" i="30"/>
  <c r="CJ26" i="30"/>
  <c r="CI26" i="30"/>
  <c r="CH26" i="30"/>
  <c r="CG26" i="30"/>
  <c r="CF26" i="30"/>
  <c r="CE26" i="30"/>
  <c r="CD26" i="30"/>
  <c r="CC26" i="30"/>
  <c r="CB26" i="30"/>
  <c r="CA26" i="30"/>
  <c r="BZ26" i="30"/>
  <c r="BY26" i="30"/>
  <c r="BX26" i="30"/>
  <c r="BW26" i="30"/>
  <c r="BV26" i="30"/>
  <c r="BU26" i="30"/>
  <c r="BT26" i="30"/>
  <c r="BS26" i="30"/>
  <c r="BR26" i="30"/>
  <c r="BQ26" i="30"/>
  <c r="BP26" i="30"/>
  <c r="BO26" i="30"/>
  <c r="BN26" i="30"/>
  <c r="DA25" i="30"/>
  <c r="CZ25" i="30"/>
  <c r="CY25" i="30"/>
  <c r="CX25" i="30"/>
  <c r="CW25" i="30"/>
  <c r="CV25" i="30"/>
  <c r="CU25" i="30"/>
  <c r="CT25" i="30"/>
  <c r="CS25" i="30"/>
  <c r="CR25" i="30"/>
  <c r="CQ25" i="30"/>
  <c r="CP25" i="30"/>
  <c r="CO25" i="30"/>
  <c r="CN25" i="30"/>
  <c r="CM25" i="30"/>
  <c r="CL25" i="30"/>
  <c r="CK25" i="30"/>
  <c r="CJ25" i="30"/>
  <c r="CI25" i="30"/>
  <c r="CH25" i="30"/>
  <c r="CG25" i="30"/>
  <c r="CF25" i="30"/>
  <c r="CE25" i="30"/>
  <c r="CD25" i="30"/>
  <c r="CC25" i="30"/>
  <c r="CB25" i="30"/>
  <c r="CA25" i="30"/>
  <c r="BZ25" i="30"/>
  <c r="BY25" i="30"/>
  <c r="BX25" i="30"/>
  <c r="BW25" i="30"/>
  <c r="BV25" i="30"/>
  <c r="BU25" i="30"/>
  <c r="BT25" i="30"/>
  <c r="BS25" i="30"/>
  <c r="BR25" i="30"/>
  <c r="BQ25" i="30"/>
  <c r="BP25" i="30"/>
  <c r="BO25" i="30"/>
  <c r="BN25" i="30"/>
  <c r="DA24" i="30"/>
  <c r="CZ24" i="30"/>
  <c r="CY24" i="30"/>
  <c r="CX24" i="30"/>
  <c r="CW24" i="30"/>
  <c r="CV24" i="30"/>
  <c r="CU24" i="30"/>
  <c r="CT24" i="30"/>
  <c r="CS24" i="30"/>
  <c r="CR24" i="30"/>
  <c r="CQ24" i="30"/>
  <c r="CP24" i="30"/>
  <c r="CO24" i="30"/>
  <c r="CN24" i="30"/>
  <c r="CM24" i="30"/>
  <c r="CL24" i="30"/>
  <c r="CK24" i="30"/>
  <c r="CJ24" i="30"/>
  <c r="CI24" i="30"/>
  <c r="CH24" i="30"/>
  <c r="CG24" i="30"/>
  <c r="CF24" i="30"/>
  <c r="CE24" i="30"/>
  <c r="CD24" i="30"/>
  <c r="CC24" i="30"/>
  <c r="CB24" i="30"/>
  <c r="CA24" i="30"/>
  <c r="BZ24" i="30"/>
  <c r="BY24" i="30"/>
  <c r="BX24" i="30"/>
  <c r="BW24" i="30"/>
  <c r="BV24" i="30"/>
  <c r="BU24" i="30"/>
  <c r="BT24" i="30"/>
  <c r="BS24" i="30"/>
  <c r="BR24" i="30"/>
  <c r="BQ24" i="30"/>
  <c r="BP24" i="30"/>
  <c r="BO24" i="30"/>
  <c r="BN24" i="30"/>
  <c r="DA23" i="30"/>
  <c r="CZ23" i="30"/>
  <c r="CY23" i="30"/>
  <c r="CX23" i="30"/>
  <c r="CW23" i="30"/>
  <c r="CV23" i="30"/>
  <c r="CU23" i="30"/>
  <c r="CT23" i="30"/>
  <c r="CS23" i="30"/>
  <c r="CR23" i="30"/>
  <c r="CQ23" i="30"/>
  <c r="CP23" i="30"/>
  <c r="CO23" i="30"/>
  <c r="CN23" i="30"/>
  <c r="CM23" i="30"/>
  <c r="CL23" i="30"/>
  <c r="CK23" i="30"/>
  <c r="CJ23" i="30"/>
  <c r="CI23" i="30"/>
  <c r="CH23" i="30"/>
  <c r="CG23" i="30"/>
  <c r="CF23" i="30"/>
  <c r="CE23" i="30"/>
  <c r="CD23" i="30"/>
  <c r="CC23" i="30"/>
  <c r="CB23" i="30"/>
  <c r="CA23" i="30"/>
  <c r="BZ23" i="30"/>
  <c r="BY23" i="30"/>
  <c r="BX23" i="30"/>
  <c r="BW23" i="30"/>
  <c r="BV23" i="30"/>
  <c r="BU23" i="30"/>
  <c r="BT23" i="30"/>
  <c r="BS23" i="30"/>
  <c r="BR23" i="30"/>
  <c r="BQ23" i="30"/>
  <c r="BP23" i="30"/>
  <c r="BO23" i="30"/>
  <c r="BN23" i="30"/>
  <c r="DA22" i="30"/>
  <c r="CZ22" i="30"/>
  <c r="CY22" i="30"/>
  <c r="CX22" i="30"/>
  <c r="CW22" i="30"/>
  <c r="CV22" i="30"/>
  <c r="CU22" i="30"/>
  <c r="CT22" i="30"/>
  <c r="CS22" i="30"/>
  <c r="CR22" i="30"/>
  <c r="CQ22" i="30"/>
  <c r="CP22" i="30"/>
  <c r="CO22" i="30"/>
  <c r="CN22" i="30"/>
  <c r="CM22" i="30"/>
  <c r="CL22" i="30"/>
  <c r="CK22" i="30"/>
  <c r="CJ22" i="30"/>
  <c r="CI22" i="30"/>
  <c r="CH22" i="30"/>
  <c r="CG22" i="30"/>
  <c r="CF22" i="30"/>
  <c r="CE22" i="30"/>
  <c r="CD22" i="30"/>
  <c r="CC22" i="30"/>
  <c r="CB22" i="30"/>
  <c r="CA22" i="30"/>
  <c r="BZ22" i="30"/>
  <c r="BY22" i="30"/>
  <c r="BX22" i="30"/>
  <c r="BW22" i="30"/>
  <c r="BV22" i="30"/>
  <c r="BU22" i="30"/>
  <c r="BT22" i="30"/>
  <c r="BS22" i="30"/>
  <c r="BR22" i="30"/>
  <c r="BQ22" i="30"/>
  <c r="BP22" i="30"/>
  <c r="BO22" i="30"/>
  <c r="BN22" i="30"/>
  <c r="DA21" i="30"/>
  <c r="CZ21" i="30"/>
  <c r="CY21" i="30"/>
  <c r="CX21" i="30"/>
  <c r="CW21" i="30"/>
  <c r="CV21" i="30"/>
  <c r="CU21" i="30"/>
  <c r="CT21" i="30"/>
  <c r="CS21" i="30"/>
  <c r="CR21" i="30"/>
  <c r="FZ9" i="30" s="1"/>
  <c r="CQ21" i="30"/>
  <c r="CP21" i="30"/>
  <c r="CO21" i="30"/>
  <c r="CN21" i="30"/>
  <c r="CM21" i="30"/>
  <c r="CL21" i="30"/>
  <c r="CK21" i="30"/>
  <c r="CJ21" i="30"/>
  <c r="CI21" i="30"/>
  <c r="CH21" i="30"/>
  <c r="CG21" i="30"/>
  <c r="CF21" i="30"/>
  <c r="CE21" i="30"/>
  <c r="CD21" i="30"/>
  <c r="CC21" i="30"/>
  <c r="FK9" i="30" s="1"/>
  <c r="CB21" i="30"/>
  <c r="FJ9" i="30" s="1"/>
  <c r="CA21" i="30"/>
  <c r="FI10" i="30" s="1"/>
  <c r="BZ21" i="30"/>
  <c r="BY21" i="30"/>
  <c r="BX21" i="30"/>
  <c r="BW21" i="30"/>
  <c r="BV21" i="30"/>
  <c r="BU21" i="30"/>
  <c r="BT21" i="30"/>
  <c r="BS21" i="30"/>
  <c r="BR21" i="30"/>
  <c r="BQ21" i="30"/>
  <c r="BP21" i="30"/>
  <c r="BO21" i="30"/>
  <c r="BN21" i="30"/>
  <c r="DA20" i="30"/>
  <c r="CZ20" i="30"/>
  <c r="CY20" i="30"/>
  <c r="CX20" i="30"/>
  <c r="CW20" i="30"/>
  <c r="CV20" i="30"/>
  <c r="CU20" i="30"/>
  <c r="CT20" i="30"/>
  <c r="CS20" i="30"/>
  <c r="CR20" i="30"/>
  <c r="CQ20" i="30"/>
  <c r="CP20" i="30"/>
  <c r="CO20" i="30"/>
  <c r="CN20" i="30"/>
  <c r="CM20" i="30"/>
  <c r="CL20" i="30"/>
  <c r="CK20" i="30"/>
  <c r="CJ20" i="30"/>
  <c r="CI20" i="30"/>
  <c r="CH20" i="30"/>
  <c r="CG20" i="30"/>
  <c r="CF20" i="30"/>
  <c r="CE20" i="30"/>
  <c r="CD20" i="30"/>
  <c r="CC20" i="30"/>
  <c r="CB20" i="30"/>
  <c r="CA20" i="30"/>
  <c r="BZ20" i="30"/>
  <c r="BY20" i="30"/>
  <c r="BX20" i="30"/>
  <c r="BW20" i="30"/>
  <c r="BV20" i="30"/>
  <c r="BU20" i="30"/>
  <c r="BT20" i="30"/>
  <c r="BS20" i="30"/>
  <c r="BR20" i="30"/>
  <c r="BQ20" i="30"/>
  <c r="BP20" i="30"/>
  <c r="BO20" i="30"/>
  <c r="BN20" i="30"/>
  <c r="DA19" i="30"/>
  <c r="CZ19" i="30"/>
  <c r="CY19" i="30"/>
  <c r="CX19" i="30"/>
  <c r="CW19" i="30"/>
  <c r="CV19" i="30"/>
  <c r="CU19" i="30"/>
  <c r="CT19" i="30"/>
  <c r="CS19" i="30"/>
  <c r="CR19" i="30"/>
  <c r="CQ19" i="30"/>
  <c r="CP19" i="30"/>
  <c r="CO19" i="30"/>
  <c r="CN19" i="30"/>
  <c r="CM19" i="30"/>
  <c r="CL19" i="30"/>
  <c r="CK19" i="30"/>
  <c r="CJ19" i="30"/>
  <c r="CI19" i="30"/>
  <c r="CH19" i="30"/>
  <c r="CG19" i="30"/>
  <c r="CF19" i="30"/>
  <c r="CE19" i="30"/>
  <c r="CD19" i="30"/>
  <c r="CC19" i="30"/>
  <c r="CB19" i="30"/>
  <c r="CA19" i="30"/>
  <c r="BZ19" i="30"/>
  <c r="BY19" i="30"/>
  <c r="BX19" i="30"/>
  <c r="BW19" i="30"/>
  <c r="BV19" i="30"/>
  <c r="BU19" i="30"/>
  <c r="BT19" i="30"/>
  <c r="BS19" i="30"/>
  <c r="BR19" i="30"/>
  <c r="BQ19" i="30"/>
  <c r="BP19" i="30"/>
  <c r="BO19" i="30"/>
  <c r="BN19" i="30"/>
  <c r="DA18" i="30"/>
  <c r="CZ18" i="30"/>
  <c r="CY18" i="30"/>
  <c r="CX18" i="30"/>
  <c r="CW18" i="30"/>
  <c r="CV18" i="30"/>
  <c r="CU18" i="30"/>
  <c r="CT18" i="30"/>
  <c r="CS18" i="30"/>
  <c r="CR18" i="30"/>
  <c r="CQ18" i="30"/>
  <c r="CP18" i="30"/>
  <c r="CO18" i="30"/>
  <c r="CN18" i="30"/>
  <c r="CM18" i="30"/>
  <c r="CL18" i="30"/>
  <c r="CK18" i="30"/>
  <c r="CJ18" i="30"/>
  <c r="CI18" i="30"/>
  <c r="CH18" i="30"/>
  <c r="CG18" i="30"/>
  <c r="CF18" i="30"/>
  <c r="CE18" i="30"/>
  <c r="CD18" i="30"/>
  <c r="CC18" i="30"/>
  <c r="CB18" i="30"/>
  <c r="CA18" i="30"/>
  <c r="BZ18" i="30"/>
  <c r="BY18" i="30"/>
  <c r="BX18" i="30"/>
  <c r="BW18" i="30"/>
  <c r="BV18" i="30"/>
  <c r="BU18" i="30"/>
  <c r="BT18" i="30"/>
  <c r="BS18" i="30"/>
  <c r="BR18" i="30"/>
  <c r="BQ18" i="30"/>
  <c r="BP18" i="30"/>
  <c r="BO18" i="30"/>
  <c r="BN18" i="30"/>
  <c r="DA17" i="30"/>
  <c r="CZ17" i="30"/>
  <c r="CY17" i="30"/>
  <c r="CX17" i="30"/>
  <c r="CW17" i="30"/>
  <c r="CV17" i="30"/>
  <c r="CU17" i="30"/>
  <c r="CT17" i="30"/>
  <c r="CS17" i="30"/>
  <c r="CR17" i="30"/>
  <c r="CQ17" i="30"/>
  <c r="CP17" i="30"/>
  <c r="CO17" i="30"/>
  <c r="CN17" i="30"/>
  <c r="CM17" i="30"/>
  <c r="CL17" i="30"/>
  <c r="CK17" i="30"/>
  <c r="CJ17" i="30"/>
  <c r="CI17" i="30"/>
  <c r="CH17" i="30"/>
  <c r="CG17" i="30"/>
  <c r="CF17" i="30"/>
  <c r="CE17" i="30"/>
  <c r="CD17" i="30"/>
  <c r="CC17" i="30"/>
  <c r="CB17" i="30"/>
  <c r="FJ22" i="30" s="1"/>
  <c r="CA17" i="30"/>
  <c r="FI21" i="30" s="1"/>
  <c r="BZ17" i="30"/>
  <c r="BY17" i="30"/>
  <c r="BX17" i="30"/>
  <c r="BW17" i="30"/>
  <c r="BV17" i="30"/>
  <c r="BU17" i="30"/>
  <c r="BT17" i="30"/>
  <c r="BS17" i="30"/>
  <c r="BR17" i="30"/>
  <c r="BQ17" i="30"/>
  <c r="BP17" i="30"/>
  <c r="BO17" i="30"/>
  <c r="BN17" i="30"/>
  <c r="DA16" i="30"/>
  <c r="CZ16" i="30"/>
  <c r="CY16" i="30"/>
  <c r="CX16" i="30"/>
  <c r="CW16" i="30"/>
  <c r="CV16" i="30"/>
  <c r="CU16" i="30"/>
  <c r="CT16" i="30"/>
  <c r="CS16" i="30"/>
  <c r="CR16" i="30"/>
  <c r="CQ16" i="30"/>
  <c r="CP16" i="30"/>
  <c r="CO16" i="30"/>
  <c r="CN16" i="30"/>
  <c r="CM16" i="30"/>
  <c r="CL16" i="30"/>
  <c r="CK16" i="30"/>
  <c r="CJ16" i="30"/>
  <c r="CI16" i="30"/>
  <c r="CH16" i="30"/>
  <c r="CG16" i="30"/>
  <c r="CF16" i="30"/>
  <c r="CE16" i="30"/>
  <c r="CD16" i="30"/>
  <c r="CC16" i="30"/>
  <c r="CB16" i="30"/>
  <c r="CA16" i="30"/>
  <c r="BZ16" i="30"/>
  <c r="BY16" i="30"/>
  <c r="BX16" i="30"/>
  <c r="BW16" i="30"/>
  <c r="BV16" i="30"/>
  <c r="BU16" i="30"/>
  <c r="BT16" i="30"/>
  <c r="BS16" i="30"/>
  <c r="BR16" i="30"/>
  <c r="BQ16" i="30"/>
  <c r="BP16" i="30"/>
  <c r="BO16" i="30"/>
  <c r="BN16" i="30"/>
  <c r="DA15" i="30"/>
  <c r="CZ15" i="30"/>
  <c r="CY15" i="30"/>
  <c r="CX15" i="30"/>
  <c r="CW15" i="30"/>
  <c r="CV15" i="30"/>
  <c r="CU15" i="30"/>
  <c r="CT15" i="30"/>
  <c r="CS15" i="30"/>
  <c r="CR15" i="30"/>
  <c r="CQ15" i="30"/>
  <c r="CP15" i="30"/>
  <c r="CO15" i="30"/>
  <c r="CN15" i="30"/>
  <c r="CM15" i="30"/>
  <c r="CL15" i="30"/>
  <c r="CK15" i="30"/>
  <c r="CJ15" i="30"/>
  <c r="CI15" i="30"/>
  <c r="CH15" i="30"/>
  <c r="CG15" i="30"/>
  <c r="CF15" i="30"/>
  <c r="CE15" i="30"/>
  <c r="CD15" i="30"/>
  <c r="CC15" i="30"/>
  <c r="CB15" i="30"/>
  <c r="CA15" i="30"/>
  <c r="BZ15" i="30"/>
  <c r="BY15" i="30"/>
  <c r="BX15" i="30"/>
  <c r="BW15" i="30"/>
  <c r="BV15" i="30"/>
  <c r="BU15" i="30"/>
  <c r="BT15" i="30"/>
  <c r="BS15" i="30"/>
  <c r="BR15" i="30"/>
  <c r="BQ15" i="30"/>
  <c r="BP15" i="30"/>
  <c r="BO15" i="30"/>
  <c r="BN15" i="30"/>
  <c r="DA14" i="30"/>
  <c r="CZ14" i="30"/>
  <c r="CY14" i="30"/>
  <c r="CX14" i="30"/>
  <c r="CW14" i="30"/>
  <c r="CV14" i="30"/>
  <c r="CU14" i="30"/>
  <c r="CT14" i="30"/>
  <c r="CS14" i="30"/>
  <c r="CR14" i="30"/>
  <c r="CQ14" i="30"/>
  <c r="CP14" i="30"/>
  <c r="CO14" i="30"/>
  <c r="CN14" i="30"/>
  <c r="CM14" i="30"/>
  <c r="CL14" i="30"/>
  <c r="CK14" i="30"/>
  <c r="CJ14" i="30"/>
  <c r="CI14" i="30"/>
  <c r="CH14" i="30"/>
  <c r="CG14" i="30"/>
  <c r="CF14" i="30"/>
  <c r="CE14" i="30"/>
  <c r="CD14" i="30"/>
  <c r="CC14" i="30"/>
  <c r="CB14" i="30"/>
  <c r="CA14" i="30"/>
  <c r="BZ14" i="30"/>
  <c r="BY14" i="30"/>
  <c r="BX14" i="30"/>
  <c r="BW14" i="30"/>
  <c r="BV14" i="30"/>
  <c r="BU14" i="30"/>
  <c r="BT14" i="30"/>
  <c r="BS14" i="30"/>
  <c r="BR14" i="30"/>
  <c r="BQ14" i="30"/>
  <c r="BP14" i="30"/>
  <c r="BO14" i="30"/>
  <c r="BN14" i="30"/>
  <c r="DA13" i="30"/>
  <c r="CZ13" i="30"/>
  <c r="CY13" i="30"/>
  <c r="CX13" i="30"/>
  <c r="CW13" i="30"/>
  <c r="CV13" i="30"/>
  <c r="CU13" i="30"/>
  <c r="CT13" i="30"/>
  <c r="CS13" i="30"/>
  <c r="CR13" i="30"/>
  <c r="CQ13" i="30"/>
  <c r="FY32" i="30" s="1"/>
  <c r="CP13" i="30"/>
  <c r="CO13" i="30"/>
  <c r="CN13" i="30"/>
  <c r="CM13" i="30"/>
  <c r="CL13" i="30"/>
  <c r="CK13" i="30"/>
  <c r="CJ13" i="30"/>
  <c r="CI13" i="30"/>
  <c r="CH13" i="30"/>
  <c r="CG13" i="30"/>
  <c r="CF13" i="30"/>
  <c r="CE13" i="30"/>
  <c r="CD13" i="30"/>
  <c r="CC13" i="30"/>
  <c r="CB13" i="30"/>
  <c r="CA13" i="30"/>
  <c r="BZ13" i="30"/>
  <c r="BY13" i="30"/>
  <c r="BX13" i="30"/>
  <c r="BW13" i="30"/>
  <c r="BV13" i="30"/>
  <c r="BU13" i="30"/>
  <c r="BT13" i="30"/>
  <c r="BS13" i="30"/>
  <c r="BR13" i="30"/>
  <c r="BQ13" i="30"/>
  <c r="BP13" i="30"/>
  <c r="BO13" i="30"/>
  <c r="BN13" i="30"/>
  <c r="DA12" i="30"/>
  <c r="CZ12" i="30"/>
  <c r="CY12" i="30"/>
  <c r="CX12" i="30"/>
  <c r="CW12" i="30"/>
  <c r="CV12" i="30"/>
  <c r="CU12" i="30"/>
  <c r="CT12" i="30"/>
  <c r="CS12" i="30"/>
  <c r="CR12" i="30"/>
  <c r="CQ12" i="30"/>
  <c r="CP12" i="30"/>
  <c r="CO12" i="30"/>
  <c r="CN12" i="30"/>
  <c r="CM12" i="30"/>
  <c r="CL12" i="30"/>
  <c r="CK12" i="30"/>
  <c r="CJ12" i="30"/>
  <c r="CI12" i="30"/>
  <c r="CH12" i="30"/>
  <c r="CG12" i="30"/>
  <c r="CF12" i="30"/>
  <c r="CE12" i="30"/>
  <c r="CD12" i="30"/>
  <c r="CC12" i="30"/>
  <c r="CB12" i="30"/>
  <c r="CA12" i="30"/>
  <c r="BZ12" i="30"/>
  <c r="BY12" i="30"/>
  <c r="BX12" i="30"/>
  <c r="BW12" i="30"/>
  <c r="BV12" i="30"/>
  <c r="BU12" i="30"/>
  <c r="BT12" i="30"/>
  <c r="BS12" i="30"/>
  <c r="BR12" i="30"/>
  <c r="BQ12" i="30"/>
  <c r="BP12" i="30"/>
  <c r="BO12" i="30"/>
  <c r="BN12" i="30"/>
  <c r="DA11" i="30"/>
  <c r="CZ11" i="30"/>
  <c r="CY11" i="30"/>
  <c r="CX11" i="30"/>
  <c r="CW11" i="30"/>
  <c r="CV11" i="30"/>
  <c r="CU11" i="30"/>
  <c r="CT11" i="30"/>
  <c r="CS11" i="30"/>
  <c r="CR11" i="30"/>
  <c r="CQ11" i="30"/>
  <c r="CP11" i="30"/>
  <c r="CO11" i="30"/>
  <c r="CN11" i="30"/>
  <c r="CM11" i="30"/>
  <c r="CL11" i="30"/>
  <c r="CK11" i="30"/>
  <c r="CJ11" i="30"/>
  <c r="CI11" i="30"/>
  <c r="CH11" i="30"/>
  <c r="CG11" i="30"/>
  <c r="CF11" i="30"/>
  <c r="CE11" i="30"/>
  <c r="CD11" i="30"/>
  <c r="CC11" i="30"/>
  <c r="CB11" i="30"/>
  <c r="CA11" i="30"/>
  <c r="BZ11" i="30"/>
  <c r="BY11" i="30"/>
  <c r="BX11" i="30"/>
  <c r="BW11" i="30"/>
  <c r="BV11" i="30"/>
  <c r="BU11" i="30"/>
  <c r="BT11" i="30"/>
  <c r="BS11" i="30"/>
  <c r="BR11" i="30"/>
  <c r="BQ11" i="30"/>
  <c r="BP11" i="30"/>
  <c r="BO11" i="30"/>
  <c r="BN11" i="30"/>
  <c r="DA10" i="30"/>
  <c r="CZ10" i="30"/>
  <c r="CY10" i="30"/>
  <c r="CX10" i="30"/>
  <c r="CW10" i="30"/>
  <c r="CV10" i="30"/>
  <c r="CU10" i="30"/>
  <c r="CT10" i="30"/>
  <c r="CS10" i="30"/>
  <c r="CR10" i="30"/>
  <c r="CQ10" i="30"/>
  <c r="CP10" i="30"/>
  <c r="CO10" i="30"/>
  <c r="CN10" i="30"/>
  <c r="CM10" i="30"/>
  <c r="CL10" i="30"/>
  <c r="CK10" i="30"/>
  <c r="CJ10" i="30"/>
  <c r="CI10" i="30"/>
  <c r="CH10" i="30"/>
  <c r="CG10" i="30"/>
  <c r="CF10" i="30"/>
  <c r="CE10" i="30"/>
  <c r="CD10" i="30"/>
  <c r="CC10" i="30"/>
  <c r="CB10" i="30"/>
  <c r="CA10" i="30"/>
  <c r="BZ10" i="30"/>
  <c r="BY10" i="30"/>
  <c r="BX10" i="30"/>
  <c r="BW10" i="30"/>
  <c r="BV10" i="30"/>
  <c r="BU10" i="30"/>
  <c r="BT10" i="30"/>
  <c r="BS10" i="30"/>
  <c r="BR10" i="30"/>
  <c r="BQ10" i="30"/>
  <c r="BP10" i="30"/>
  <c r="BO10" i="30"/>
  <c r="BN10" i="30"/>
  <c r="DA9" i="30"/>
  <c r="CZ9" i="30"/>
  <c r="CY9" i="30"/>
  <c r="CX9" i="30"/>
  <c r="CW9" i="30"/>
  <c r="CV9" i="30"/>
  <c r="CU9" i="30"/>
  <c r="CT9" i="30"/>
  <c r="CS9" i="30"/>
  <c r="CR9" i="30"/>
  <c r="FZ24" i="30" s="1"/>
  <c r="CQ9" i="30"/>
  <c r="FY24" i="30" s="1"/>
  <c r="CP9" i="30"/>
  <c r="CO9" i="30"/>
  <c r="CN9" i="30"/>
  <c r="CM9" i="30"/>
  <c r="CL9" i="30"/>
  <c r="CK9" i="30"/>
  <c r="CJ9" i="30"/>
  <c r="CI9" i="30"/>
  <c r="CH9" i="30"/>
  <c r="CG9" i="30"/>
  <c r="CF9" i="30"/>
  <c r="CE9" i="30"/>
  <c r="CD9" i="30"/>
  <c r="CC9" i="30"/>
  <c r="CB9" i="30"/>
  <c r="FJ24" i="30" s="1"/>
  <c r="CA9" i="30"/>
  <c r="FI24" i="30" s="1"/>
  <c r="BZ9" i="30"/>
  <c r="BY9" i="30"/>
  <c r="BX9" i="30"/>
  <c r="BW9" i="30"/>
  <c r="BV9" i="30"/>
  <c r="BU9" i="30"/>
  <c r="BT9" i="30"/>
  <c r="BS9" i="30"/>
  <c r="BR9" i="30"/>
  <c r="BQ9" i="30"/>
  <c r="BP9" i="30"/>
  <c r="BO9" i="30"/>
  <c r="BN9" i="30"/>
  <c r="DA8" i="30"/>
  <c r="CZ8" i="30"/>
  <c r="CY8" i="30"/>
  <c r="CX8" i="30"/>
  <c r="CW8" i="30"/>
  <c r="CV8" i="30"/>
  <c r="CU8" i="30"/>
  <c r="CT8" i="30"/>
  <c r="CS8" i="30"/>
  <c r="CR8" i="30"/>
  <c r="CQ8" i="30"/>
  <c r="CP8" i="30"/>
  <c r="CO8" i="30"/>
  <c r="CN8" i="30"/>
  <c r="CM8" i="30"/>
  <c r="CL8" i="30"/>
  <c r="CK8" i="30"/>
  <c r="CJ8" i="30"/>
  <c r="CI8" i="30"/>
  <c r="CH8" i="30"/>
  <c r="CG8" i="30"/>
  <c r="CF8" i="30"/>
  <c r="CE8" i="30"/>
  <c r="CD8" i="30"/>
  <c r="CC8" i="30"/>
  <c r="CB8" i="30"/>
  <c r="CA8" i="30"/>
  <c r="BZ8" i="30"/>
  <c r="BY8" i="30"/>
  <c r="BX8" i="30"/>
  <c r="BW8" i="30"/>
  <c r="BV8" i="30"/>
  <c r="BU8" i="30"/>
  <c r="BT8" i="30"/>
  <c r="BS8" i="30"/>
  <c r="BR8" i="30"/>
  <c r="BQ8" i="30"/>
  <c r="BP8" i="30"/>
  <c r="BO8" i="30"/>
  <c r="BN8" i="30"/>
  <c r="DA7" i="30"/>
  <c r="CZ7" i="30"/>
  <c r="CY7" i="30"/>
  <c r="CX7" i="30"/>
  <c r="CW7" i="30"/>
  <c r="CV7" i="30"/>
  <c r="CU7" i="30"/>
  <c r="CT7" i="30"/>
  <c r="CS7" i="30"/>
  <c r="CR7" i="30"/>
  <c r="CQ7" i="30"/>
  <c r="CP7" i="30"/>
  <c r="CO7" i="30"/>
  <c r="CN7" i="30"/>
  <c r="CM7" i="30"/>
  <c r="CL7" i="30"/>
  <c r="CK7" i="30"/>
  <c r="CJ7" i="30"/>
  <c r="CI7" i="30"/>
  <c r="CH7" i="30"/>
  <c r="CG7" i="30"/>
  <c r="CF7" i="30"/>
  <c r="CE7" i="30"/>
  <c r="CD7" i="30"/>
  <c r="CC7" i="30"/>
  <c r="CB7" i="30"/>
  <c r="CA7" i="30"/>
  <c r="BZ7" i="30"/>
  <c r="BY7" i="30"/>
  <c r="BX7" i="30"/>
  <c r="BW7" i="30"/>
  <c r="BV7" i="30"/>
  <c r="BU7" i="30"/>
  <c r="BT7" i="30"/>
  <c r="BS7" i="30"/>
  <c r="BR7" i="30"/>
  <c r="BQ7" i="30"/>
  <c r="BP7" i="30"/>
  <c r="BO7" i="30"/>
  <c r="BN7" i="30"/>
  <c r="DA6" i="30"/>
  <c r="CZ6" i="30"/>
  <c r="CY6" i="30"/>
  <c r="CX6" i="30"/>
  <c r="CW6" i="30"/>
  <c r="CV6" i="30"/>
  <c r="CU6" i="30"/>
  <c r="CT6" i="30"/>
  <c r="CS6" i="30"/>
  <c r="CR6" i="30"/>
  <c r="CQ6" i="30"/>
  <c r="CP6" i="30"/>
  <c r="CO6" i="30"/>
  <c r="CN6" i="30"/>
  <c r="CM6" i="30"/>
  <c r="CL6" i="30"/>
  <c r="CK6" i="30"/>
  <c r="CJ6" i="30"/>
  <c r="CI6" i="30"/>
  <c r="CH6" i="30"/>
  <c r="CG6" i="30"/>
  <c r="CF6" i="30"/>
  <c r="CE6" i="30"/>
  <c r="CD6" i="30"/>
  <c r="CC6" i="30"/>
  <c r="CB6" i="30"/>
  <c r="CA6" i="30"/>
  <c r="BZ6" i="30"/>
  <c r="BY6" i="30"/>
  <c r="BX6" i="30"/>
  <c r="BW6" i="30"/>
  <c r="BV6" i="30"/>
  <c r="BU6" i="30"/>
  <c r="BT6" i="30"/>
  <c r="BS6" i="30"/>
  <c r="BR6" i="30"/>
  <c r="BQ6" i="30"/>
  <c r="BP6" i="30"/>
  <c r="BO6" i="30"/>
  <c r="BN6" i="30"/>
  <c r="R17" i="20"/>
  <c r="N9" i="20"/>
  <c r="N17" i="20"/>
  <c r="CV2" i="31"/>
  <c r="BC37" i="30"/>
  <c r="CZ5" i="30"/>
  <c r="CY5" i="30"/>
  <c r="CX5" i="30"/>
  <c r="CW5" i="30"/>
  <c r="CV5" i="30"/>
  <c r="CU5" i="30"/>
  <c r="CT5" i="30"/>
  <c r="CS5" i="30"/>
  <c r="CR5" i="30"/>
  <c r="CQ5" i="30"/>
  <c r="CP5" i="30"/>
  <c r="CO5" i="30"/>
  <c r="CN5" i="30"/>
  <c r="CM5" i="30"/>
  <c r="CL5" i="30"/>
  <c r="CK5" i="30"/>
  <c r="CJ5" i="30"/>
  <c r="CI5" i="30"/>
  <c r="CH5" i="30"/>
  <c r="CG5" i="30"/>
  <c r="CF5" i="30"/>
  <c r="CE5" i="30"/>
  <c r="CD5" i="30"/>
  <c r="CC5" i="30"/>
  <c r="CB5" i="30"/>
  <c r="CA5" i="30"/>
  <c r="BZ5" i="30"/>
  <c r="BY5" i="30"/>
  <c r="BX5" i="30"/>
  <c r="BW5" i="30"/>
  <c r="BV5" i="30"/>
  <c r="BU5" i="30"/>
  <c r="BT5" i="30"/>
  <c r="BS5" i="30"/>
  <c r="BR5" i="30"/>
  <c r="BQ5" i="30"/>
  <c r="AS11" i="1"/>
  <c r="AR11" i="1"/>
  <c r="AQ11" i="1"/>
  <c r="AM11" i="1"/>
  <c r="AL11" i="1"/>
  <c r="FZ31" i="30" l="1"/>
  <c r="FL20" i="30"/>
  <c r="FK31" i="30"/>
  <c r="FK22" i="30"/>
  <c r="FK24" i="30"/>
  <c r="GA22" i="30"/>
  <c r="GA31" i="30"/>
  <c r="FZ22" i="30"/>
  <c r="FJ8" i="30"/>
  <c r="FJ20" i="30"/>
  <c r="FI32" i="30"/>
  <c r="GA8" i="30"/>
  <c r="FK8" i="30"/>
  <c r="CI14" i="20"/>
  <c r="CJ14" i="20"/>
  <c r="FY20" i="30"/>
  <c r="GA24" i="30"/>
  <c r="FD11" i="30"/>
  <c r="FT11" i="30"/>
  <c r="FD32" i="30"/>
  <c r="GA9" i="30"/>
  <c r="FE11" i="30"/>
  <c r="FU11" i="30"/>
  <c r="FE32" i="30"/>
  <c r="FU32" i="30"/>
  <c r="FE22" i="30"/>
  <c r="FU22" i="30"/>
  <c r="FG24" i="30"/>
  <c r="FW24" i="30"/>
  <c r="FG32" i="30"/>
  <c r="FW32" i="30"/>
  <c r="FW21" i="30"/>
  <c r="FH24" i="30"/>
  <c r="FX24" i="30"/>
  <c r="FH32" i="30"/>
  <c r="FX32" i="30"/>
  <c r="FX21" i="30"/>
  <c r="FT32" i="30"/>
  <c r="FE10" i="30"/>
  <c r="FG10" i="30"/>
  <c r="FW10" i="30"/>
  <c r="FG20" i="30"/>
  <c r="FW20" i="30"/>
  <c r="FX10" i="30"/>
  <c r="FX20" i="30"/>
  <c r="GA20" i="30"/>
  <c r="FF24" i="30"/>
  <c r="FV24" i="30"/>
  <c r="FF32" i="30"/>
  <c r="FV32" i="30"/>
  <c r="FF22" i="30"/>
  <c r="FV22" i="30"/>
  <c r="FF10" i="30"/>
  <c r="FV10" i="30"/>
  <c r="FF20" i="30"/>
  <c r="FV20" i="30"/>
  <c r="FK5" i="30"/>
  <c r="GA5" i="30"/>
  <c r="FG8" i="30"/>
  <c r="FH8" i="30"/>
  <c r="FE7" i="30"/>
  <c r="FF8" i="30"/>
  <c r="FV8" i="30"/>
  <c r="FW8" i="30"/>
  <c r="FH10" i="30"/>
  <c r="FX8" i="30"/>
  <c r="FC18" i="30"/>
  <c r="FU7" i="30"/>
  <c r="FH20" i="30"/>
  <c r="FU10" i="30"/>
  <c r="FE20" i="30"/>
  <c r="FU20" i="30"/>
  <c r="FY21" i="30"/>
  <c r="FY10" i="30"/>
  <c r="FM20" i="30"/>
  <c r="FM8" i="30"/>
  <c r="GC8" i="30"/>
  <c r="FI8" i="30"/>
  <c r="FS18" i="30"/>
  <c r="FN8" i="30"/>
  <c r="GD8" i="30"/>
  <c r="FC7" i="30"/>
  <c r="FD22" i="30"/>
  <c r="FT22" i="30"/>
  <c r="FD10" i="30"/>
  <c r="FT10" i="30"/>
  <c r="FD20" i="30"/>
  <c r="FT20" i="30"/>
  <c r="FD7" i="30"/>
  <c r="FT7" i="30"/>
  <c r="FL5" i="30"/>
  <c r="GB34" i="30"/>
  <c r="FI6" i="30"/>
  <c r="GB20" i="30"/>
  <c r="FY6" i="30"/>
  <c r="FD18" i="30"/>
  <c r="FT18" i="30"/>
  <c r="FH21" i="30"/>
  <c r="EZ30" i="30"/>
  <c r="FP30" i="30"/>
  <c r="EZ8" i="30"/>
  <c r="FP8" i="30"/>
  <c r="GF8" i="30"/>
  <c r="FM9" i="30"/>
  <c r="FG21" i="30"/>
  <c r="GC34" i="30"/>
  <c r="GD34" i="30"/>
  <c r="EY34" i="30"/>
  <c r="GE34" i="30"/>
  <c r="FN34" i="30"/>
  <c r="FO34" i="30"/>
  <c r="GC9" i="30"/>
  <c r="GC20" i="30"/>
  <c r="FN30" i="30"/>
  <c r="GD30" i="30"/>
  <c r="EY32" i="30"/>
  <c r="FO32" i="30"/>
  <c r="GE32" i="30"/>
  <c r="EY22" i="30"/>
  <c r="FO22" i="30"/>
  <c r="EY10" i="30"/>
  <c r="FO10" i="30"/>
  <c r="EY30" i="30"/>
  <c r="FO30" i="30"/>
  <c r="EY8" i="30"/>
  <c r="FO8" i="30"/>
  <c r="GE8" i="30"/>
  <c r="EZ23" i="30"/>
  <c r="GF32" i="30"/>
  <c r="EZ22" i="30"/>
  <c r="FP22" i="30"/>
  <c r="GF22" i="30"/>
  <c r="EZ10" i="30"/>
  <c r="FP10" i="30"/>
  <c r="GF30" i="30"/>
  <c r="FM34" i="30"/>
  <c r="GE24" i="30"/>
  <c r="FU33" i="30"/>
  <c r="FP23" i="30"/>
  <c r="FP32" i="30"/>
  <c r="FF17" i="30"/>
  <c r="FV17" i="30"/>
  <c r="FO24" i="30"/>
  <c r="FG17" i="30"/>
  <c r="EY24" i="30"/>
  <c r="FE33" i="30"/>
  <c r="GF23" i="30"/>
  <c r="EZ32" i="30"/>
  <c r="FC11" i="30"/>
  <c r="FS11" i="30"/>
  <c r="FC32" i="30"/>
  <c r="FS32" i="30"/>
  <c r="FC22" i="30"/>
  <c r="FS22" i="30"/>
  <c r="FC10" i="30"/>
  <c r="FS10" i="30"/>
  <c r="FC29" i="30"/>
  <c r="FS29" i="30"/>
  <c r="FS7" i="30"/>
  <c r="GG8" i="30"/>
  <c r="FZ8" i="30"/>
  <c r="EZ34" i="30"/>
  <c r="FP34" i="30"/>
  <c r="GF34" i="30"/>
  <c r="FA34" i="30"/>
  <c r="FQ34" i="30"/>
  <c r="GG34" i="30"/>
  <c r="FL24" i="30"/>
  <c r="GB24" i="30"/>
  <c r="FL31" i="30"/>
  <c r="GB31" i="30"/>
  <c r="FL22" i="30"/>
  <c r="GB22" i="30"/>
  <c r="FL9" i="30"/>
  <c r="GB9" i="30"/>
  <c r="FB34" i="30"/>
  <c r="FR34" i="30"/>
  <c r="GH34" i="30"/>
  <c r="FM24" i="30"/>
  <c r="GC24" i="30"/>
  <c r="FM32" i="30"/>
  <c r="GC32" i="30"/>
  <c r="FM22" i="30"/>
  <c r="GC22" i="30"/>
  <c r="FM10" i="30"/>
  <c r="GC10" i="30"/>
  <c r="FN24" i="30"/>
  <c r="GD24" i="30"/>
  <c r="FN32" i="30"/>
  <c r="GD32" i="30"/>
  <c r="FN22" i="30"/>
  <c r="GD22" i="30"/>
  <c r="FN10" i="30"/>
  <c r="GD10" i="30"/>
  <c r="GE22" i="30"/>
  <c r="GE10" i="30"/>
  <c r="GE30" i="30"/>
  <c r="GF10" i="30"/>
  <c r="FA23" i="30"/>
  <c r="FQ23" i="30"/>
  <c r="GG23" i="30"/>
  <c r="FA32" i="30"/>
  <c r="FQ32" i="30"/>
  <c r="GG32" i="30"/>
  <c r="FA22" i="30"/>
  <c r="FQ22" i="30"/>
  <c r="GG22" i="30"/>
  <c r="FA10" i="30"/>
  <c r="FQ10" i="30"/>
  <c r="GG10" i="30"/>
  <c r="FA29" i="30"/>
  <c r="FQ29" i="30"/>
  <c r="GG29" i="30"/>
  <c r="FA7" i="30"/>
  <c r="FQ7" i="30"/>
  <c r="GG7" i="30"/>
  <c r="FW17" i="30"/>
  <c r="FB23" i="30"/>
  <c r="FR23" i="30"/>
  <c r="GH12" i="30"/>
  <c r="FB32" i="30"/>
  <c r="FR32" i="30"/>
  <c r="GH32" i="30"/>
  <c r="FB22" i="30"/>
  <c r="FR22" i="30"/>
  <c r="GH22" i="30"/>
  <c r="FB10" i="30"/>
  <c r="FR10" i="30"/>
  <c r="GH10" i="30"/>
  <c r="FB29" i="30"/>
  <c r="FR29" i="30"/>
  <c r="GH19" i="30"/>
  <c r="FB7" i="30"/>
  <c r="FR7" i="30"/>
  <c r="GH7" i="30"/>
  <c r="FH6" i="30"/>
  <c r="FX6" i="30"/>
  <c r="FA8" i="30"/>
  <c r="FJ31" i="30"/>
  <c r="FI5" i="30"/>
  <c r="FY5" i="30"/>
  <c r="FJ5" i="30"/>
  <c r="FZ5" i="30"/>
  <c r="FQ8" i="30"/>
  <c r="FJ10" i="30"/>
  <c r="FZ10" i="30"/>
  <c r="FF11" i="30"/>
  <c r="FV11" i="30"/>
  <c r="FC12" i="30"/>
  <c r="FS12" i="30"/>
  <c r="GH5" i="30"/>
  <c r="FH17" i="30"/>
  <c r="FX17" i="30"/>
  <c r="FE18" i="30"/>
  <c r="FU18" i="30"/>
  <c r="FA19" i="30"/>
  <c r="FQ19" i="30"/>
  <c r="GG19" i="30"/>
  <c r="FN20" i="30"/>
  <c r="GD20" i="30"/>
  <c r="FJ21" i="30"/>
  <c r="FZ21" i="30"/>
  <c r="FG22" i="30"/>
  <c r="FW22" i="30"/>
  <c r="FC23" i="30"/>
  <c r="FS23" i="30"/>
  <c r="EZ24" i="30"/>
  <c r="FP24" i="30"/>
  <c r="GF24" i="30"/>
  <c r="FD29" i="30"/>
  <c r="FT29" i="30"/>
  <c r="FA30" i="30"/>
  <c r="FQ30" i="30"/>
  <c r="GG30" i="30"/>
  <c r="FM31" i="30"/>
  <c r="GC31" i="30"/>
  <c r="FJ32" i="30"/>
  <c r="FZ32" i="30"/>
  <c r="FF33" i="30"/>
  <c r="FV33" i="30"/>
  <c r="FC34" i="30"/>
  <c r="FS34" i="30"/>
  <c r="GH29" i="30"/>
  <c r="FM5" i="30"/>
  <c r="GC5" i="30"/>
  <c r="FJ6" i="30"/>
  <c r="FZ6" i="30"/>
  <c r="FF7" i="30"/>
  <c r="FV7" i="30"/>
  <c r="FB8" i="30"/>
  <c r="FR8" i="30"/>
  <c r="GH8" i="30"/>
  <c r="FN9" i="30"/>
  <c r="GD9" i="30"/>
  <c r="FK10" i="30"/>
  <c r="GA10" i="30"/>
  <c r="FG11" i="30"/>
  <c r="FW11" i="30"/>
  <c r="FD12" i="30"/>
  <c r="FT12" i="30"/>
  <c r="FI17" i="30"/>
  <c r="FY17" i="30"/>
  <c r="FF18" i="30"/>
  <c r="FV18" i="30"/>
  <c r="FB19" i="30"/>
  <c r="FR19" i="30"/>
  <c r="EY20" i="30"/>
  <c r="FO20" i="30"/>
  <c r="GE20" i="30"/>
  <c r="FK21" i="30"/>
  <c r="GA21" i="30"/>
  <c r="FH22" i="30"/>
  <c r="FX22" i="30"/>
  <c r="FD23" i="30"/>
  <c r="FT23" i="30"/>
  <c r="FA24" i="30"/>
  <c r="FQ24" i="30"/>
  <c r="GG24" i="30"/>
  <c r="FE29" i="30"/>
  <c r="FU29" i="30"/>
  <c r="FB30" i="30"/>
  <c r="FR30" i="30"/>
  <c r="GH30" i="30"/>
  <c r="FN31" i="30"/>
  <c r="GD31" i="30"/>
  <c r="FK32" i="30"/>
  <c r="GA32" i="30"/>
  <c r="FG33" i="30"/>
  <c r="FW33" i="30"/>
  <c r="FD34" i="30"/>
  <c r="FT34" i="30"/>
  <c r="FN5" i="30"/>
  <c r="GD5" i="30"/>
  <c r="FK6" i="30"/>
  <c r="GA6" i="30"/>
  <c r="FG7" i="30"/>
  <c r="FW7" i="30"/>
  <c r="FC8" i="30"/>
  <c r="FS8" i="30"/>
  <c r="EY9" i="30"/>
  <c r="FO9" i="30"/>
  <c r="GE9" i="30"/>
  <c r="FL10" i="30"/>
  <c r="GB10" i="30"/>
  <c r="FH11" i="30"/>
  <c r="FX11" i="30"/>
  <c r="FE12" i="30"/>
  <c r="FU12" i="30"/>
  <c r="FJ17" i="30"/>
  <c r="FZ17" i="30"/>
  <c r="FG18" i="30"/>
  <c r="FW18" i="30"/>
  <c r="FC19" i="30"/>
  <c r="FS19" i="30"/>
  <c r="EZ20" i="30"/>
  <c r="FP20" i="30"/>
  <c r="GF20" i="30"/>
  <c r="FL21" i="30"/>
  <c r="GB21" i="30"/>
  <c r="FI22" i="30"/>
  <c r="FY22" i="30"/>
  <c r="FE23" i="30"/>
  <c r="FU23" i="30"/>
  <c r="FB24" i="30"/>
  <c r="FR24" i="30"/>
  <c r="GH24" i="30"/>
  <c r="FF29" i="30"/>
  <c r="FV29" i="30"/>
  <c r="FC30" i="30"/>
  <c r="FS30" i="30"/>
  <c r="EY31" i="30"/>
  <c r="FO31" i="30"/>
  <c r="GE31" i="30"/>
  <c r="FL32" i="30"/>
  <c r="GB32" i="30"/>
  <c r="FH33" i="30"/>
  <c r="FX33" i="30"/>
  <c r="FE34" i="30"/>
  <c r="FU34" i="30"/>
  <c r="GH31" i="30"/>
  <c r="EY5" i="30"/>
  <c r="FO5" i="30"/>
  <c r="GE5" i="30"/>
  <c r="FL6" i="30"/>
  <c r="GB6" i="30"/>
  <c r="FH7" i="30"/>
  <c r="FX7" i="30"/>
  <c r="FD8" i="30"/>
  <c r="FT8" i="30"/>
  <c r="EZ9" i="30"/>
  <c r="FP9" i="30"/>
  <c r="GF9" i="30"/>
  <c r="FI11" i="30"/>
  <c r="FY11" i="30"/>
  <c r="FF12" i="30"/>
  <c r="FV12" i="30"/>
  <c r="GH9" i="30"/>
  <c r="FK17" i="30"/>
  <c r="GA17" i="30"/>
  <c r="FH18" i="30"/>
  <c r="FX18" i="30"/>
  <c r="FD19" i="30"/>
  <c r="FT19" i="30"/>
  <c r="FA20" i="30"/>
  <c r="FQ20" i="30"/>
  <c r="GG20" i="30"/>
  <c r="FM21" i="30"/>
  <c r="GC21" i="30"/>
  <c r="FF23" i="30"/>
  <c r="FV23" i="30"/>
  <c r="FC24" i="30"/>
  <c r="FS24" i="30"/>
  <c r="GH17" i="30"/>
  <c r="FG29" i="30"/>
  <c r="FW29" i="30"/>
  <c r="FD30" i="30"/>
  <c r="FT30" i="30"/>
  <c r="EZ31" i="30"/>
  <c r="FP31" i="30"/>
  <c r="GF31" i="30"/>
  <c r="FI33" i="30"/>
  <c r="FY33" i="30"/>
  <c r="FF34" i="30"/>
  <c r="FV34" i="30"/>
  <c r="EW24" i="30"/>
  <c r="EZ5" i="30"/>
  <c r="FP5" i="30"/>
  <c r="GF5" i="30"/>
  <c r="FM6" i="30"/>
  <c r="GC6" i="30"/>
  <c r="FI7" i="30"/>
  <c r="FY7" i="30"/>
  <c r="FE8" i="30"/>
  <c r="FU8" i="30"/>
  <c r="FA9" i="30"/>
  <c r="FQ9" i="30"/>
  <c r="GG9" i="30"/>
  <c r="FJ11" i="30"/>
  <c r="FZ11" i="30"/>
  <c r="FG12" i="30"/>
  <c r="FW12" i="30"/>
  <c r="FL17" i="30"/>
  <c r="GB17" i="30"/>
  <c r="FI18" i="30"/>
  <c r="FY18" i="30"/>
  <c r="FE19" i="30"/>
  <c r="FU19" i="30"/>
  <c r="FB20" i="30"/>
  <c r="FR20" i="30"/>
  <c r="GH20" i="30"/>
  <c r="FN21" i="30"/>
  <c r="GD21" i="30"/>
  <c r="FG23" i="30"/>
  <c r="FW23" i="30"/>
  <c r="FD24" i="30"/>
  <c r="FT24" i="30"/>
  <c r="FH29" i="30"/>
  <c r="FX29" i="30"/>
  <c r="FE30" i="30"/>
  <c r="FU30" i="30"/>
  <c r="FA31" i="30"/>
  <c r="FQ31" i="30"/>
  <c r="GG31" i="30"/>
  <c r="FJ33" i="30"/>
  <c r="FZ33" i="30"/>
  <c r="FG34" i="30"/>
  <c r="FW34" i="30"/>
  <c r="GH33" i="30"/>
  <c r="EX24" i="30"/>
  <c r="FA5" i="30"/>
  <c r="FQ5" i="30"/>
  <c r="GG5" i="30"/>
  <c r="FN6" i="30"/>
  <c r="GD6" i="30"/>
  <c r="FJ7" i="30"/>
  <c r="FZ7" i="30"/>
  <c r="FB9" i="30"/>
  <c r="FR9" i="30"/>
  <c r="FK11" i="30"/>
  <c r="GA11" i="30"/>
  <c r="FH12" i="30"/>
  <c r="FX12" i="30"/>
  <c r="GH11" i="30"/>
  <c r="FM17" i="30"/>
  <c r="GC17" i="30"/>
  <c r="FJ18" i="30"/>
  <c r="FZ18" i="30"/>
  <c r="FF19" i="30"/>
  <c r="FV19" i="30"/>
  <c r="FC20" i="30"/>
  <c r="FS20" i="30"/>
  <c r="EY21" i="30"/>
  <c r="FO21" i="30"/>
  <c r="GE21" i="30"/>
  <c r="FH23" i="30"/>
  <c r="FX23" i="30"/>
  <c r="FE24" i="30"/>
  <c r="FU24" i="30"/>
  <c r="FI29" i="30"/>
  <c r="FY29" i="30"/>
  <c r="FF30" i="30"/>
  <c r="FV30" i="30"/>
  <c r="FB31" i="30"/>
  <c r="FR31" i="30"/>
  <c r="FK33" i="30"/>
  <c r="GA33" i="30"/>
  <c r="FH34" i="30"/>
  <c r="FX34" i="30"/>
  <c r="FB5" i="30"/>
  <c r="FR5" i="30"/>
  <c r="EY6" i="30"/>
  <c r="FO6" i="30"/>
  <c r="GE6" i="30"/>
  <c r="FK7" i="30"/>
  <c r="GA7" i="30"/>
  <c r="FC9" i="30"/>
  <c r="FS9" i="30"/>
  <c r="FL11" i="30"/>
  <c r="GB11" i="30"/>
  <c r="FI12" i="30"/>
  <c r="FY12" i="30"/>
  <c r="FN17" i="30"/>
  <c r="GD17" i="30"/>
  <c r="FK18" i="30"/>
  <c r="GA18" i="30"/>
  <c r="FG19" i="30"/>
  <c r="FW19" i="30"/>
  <c r="EZ21" i="30"/>
  <c r="FP21" i="30"/>
  <c r="GF21" i="30"/>
  <c r="FI23" i="30"/>
  <c r="FY23" i="30"/>
  <c r="FJ29" i="30"/>
  <c r="FZ29" i="30"/>
  <c r="FG30" i="30"/>
  <c r="FW30" i="30"/>
  <c r="FC31" i="30"/>
  <c r="FS31" i="30"/>
  <c r="FL33" i="30"/>
  <c r="GB33" i="30"/>
  <c r="FI34" i="30"/>
  <c r="FY34" i="30"/>
  <c r="FC5" i="30"/>
  <c r="FS5" i="30"/>
  <c r="EZ6" i="30"/>
  <c r="FP6" i="30"/>
  <c r="GF6" i="30"/>
  <c r="FL7" i="30"/>
  <c r="GB7" i="30"/>
  <c r="FD9" i="30"/>
  <c r="FT9" i="30"/>
  <c r="FM11" i="30"/>
  <c r="GC11" i="30"/>
  <c r="FJ12" i="30"/>
  <c r="FZ12" i="30"/>
  <c r="EY17" i="30"/>
  <c r="FO17" i="30"/>
  <c r="GE17" i="30"/>
  <c r="FL18" i="30"/>
  <c r="GB18" i="30"/>
  <c r="FH19" i="30"/>
  <c r="FX19" i="30"/>
  <c r="FA21" i="30"/>
  <c r="FQ21" i="30"/>
  <c r="GG21" i="30"/>
  <c r="FJ23" i="30"/>
  <c r="FZ23" i="30"/>
  <c r="GH21" i="30"/>
  <c r="FK29" i="30"/>
  <c r="GA29" i="30"/>
  <c r="FH30" i="30"/>
  <c r="FX30" i="30"/>
  <c r="FD31" i="30"/>
  <c r="FT31" i="30"/>
  <c r="FM33" i="30"/>
  <c r="GC33" i="30"/>
  <c r="FJ34" i="30"/>
  <c r="FZ34" i="30"/>
  <c r="FD5" i="30"/>
  <c r="FT5" i="30"/>
  <c r="FA6" i="30"/>
  <c r="FQ6" i="30"/>
  <c r="GG6" i="30"/>
  <c r="FM7" i="30"/>
  <c r="GC7" i="30"/>
  <c r="FE9" i="30"/>
  <c r="FU9" i="30"/>
  <c r="FN11" i="30"/>
  <c r="GD11" i="30"/>
  <c r="FK12" i="30"/>
  <c r="GA12" i="30"/>
  <c r="EZ17" i="30"/>
  <c r="FP17" i="30"/>
  <c r="GF17" i="30"/>
  <c r="FM18" i="30"/>
  <c r="GC18" i="30"/>
  <c r="FI19" i="30"/>
  <c r="FY19" i="30"/>
  <c r="FB21" i="30"/>
  <c r="FR21" i="30"/>
  <c r="FK23" i="30"/>
  <c r="GA23" i="30"/>
  <c r="FL29" i="30"/>
  <c r="GB29" i="30"/>
  <c r="FI30" i="30"/>
  <c r="FY30" i="30"/>
  <c r="FE31" i="30"/>
  <c r="FU31" i="30"/>
  <c r="FN33" i="30"/>
  <c r="GD33" i="30"/>
  <c r="FK34" i="30"/>
  <c r="GA34" i="30"/>
  <c r="GB5" i="30"/>
  <c r="FE5" i="30"/>
  <c r="FU5" i="30"/>
  <c r="FB6" i="30"/>
  <c r="FR6" i="30"/>
  <c r="GH6" i="30"/>
  <c r="FN7" i="30"/>
  <c r="GD7" i="30"/>
  <c r="FF9" i="30"/>
  <c r="FV9" i="30"/>
  <c r="EY11" i="30"/>
  <c r="FO11" i="30"/>
  <c r="GE11" i="30"/>
  <c r="FL12" i="30"/>
  <c r="GB12" i="30"/>
  <c r="FA17" i="30"/>
  <c r="FQ17" i="30"/>
  <c r="GG17" i="30"/>
  <c r="FN18" i="30"/>
  <c r="GD18" i="30"/>
  <c r="FJ19" i="30"/>
  <c r="FZ19" i="30"/>
  <c r="FC21" i="30"/>
  <c r="FS21" i="30"/>
  <c r="FL23" i="30"/>
  <c r="GB23" i="30"/>
  <c r="GH23" i="30"/>
  <c r="FM29" i="30"/>
  <c r="GC29" i="30"/>
  <c r="FJ30" i="30"/>
  <c r="FZ30" i="30"/>
  <c r="FF31" i="30"/>
  <c r="FV31" i="30"/>
  <c r="EY33" i="30"/>
  <c r="FO33" i="30"/>
  <c r="GE33" i="30"/>
  <c r="FL34" i="30"/>
  <c r="FF5" i="30"/>
  <c r="FV5" i="30"/>
  <c r="FC6" i="30"/>
  <c r="FS6" i="30"/>
  <c r="EY7" i="30"/>
  <c r="FO7" i="30"/>
  <c r="GE7" i="30"/>
  <c r="FG9" i="30"/>
  <c r="FW9" i="30"/>
  <c r="EZ11" i="30"/>
  <c r="FP11" i="30"/>
  <c r="GF11" i="30"/>
  <c r="FM12" i="30"/>
  <c r="GC12" i="30"/>
  <c r="FB17" i="30"/>
  <c r="FR17" i="30"/>
  <c r="EY18" i="30"/>
  <c r="FO18" i="30"/>
  <c r="GE18" i="30"/>
  <c r="FK19" i="30"/>
  <c r="GA19" i="30"/>
  <c r="FD21" i="30"/>
  <c r="FT21" i="30"/>
  <c r="FM23" i="30"/>
  <c r="GC23" i="30"/>
  <c r="FN29" i="30"/>
  <c r="GD29" i="30"/>
  <c r="FK30" i="30"/>
  <c r="GA30" i="30"/>
  <c r="FG31" i="30"/>
  <c r="FW31" i="30"/>
  <c r="EZ33" i="30"/>
  <c r="FP33" i="30"/>
  <c r="GF33" i="30"/>
  <c r="FG5" i="30"/>
  <c r="FW5" i="30"/>
  <c r="FD6" i="30"/>
  <c r="FT6" i="30"/>
  <c r="EZ7" i="30"/>
  <c r="FP7" i="30"/>
  <c r="GF7" i="30"/>
  <c r="FH9" i="30"/>
  <c r="FX9" i="30"/>
  <c r="FA11" i="30"/>
  <c r="FQ11" i="30"/>
  <c r="GG11" i="30"/>
  <c r="FN12" i="30"/>
  <c r="GD12" i="30"/>
  <c r="FC17" i="30"/>
  <c r="FS17" i="30"/>
  <c r="EZ18" i="30"/>
  <c r="FP18" i="30"/>
  <c r="GF18" i="30"/>
  <c r="FL19" i="30"/>
  <c r="GB19" i="30"/>
  <c r="FE21" i="30"/>
  <c r="FU21" i="30"/>
  <c r="FN23" i="30"/>
  <c r="GD23" i="30"/>
  <c r="EY29" i="30"/>
  <c r="FO29" i="30"/>
  <c r="GE29" i="30"/>
  <c r="FL30" i="30"/>
  <c r="GB30" i="30"/>
  <c r="FH31" i="30"/>
  <c r="FX31" i="30"/>
  <c r="FA33" i="30"/>
  <c r="FQ33" i="30"/>
  <c r="GG33" i="30"/>
  <c r="FH5" i="30"/>
  <c r="FX5" i="30"/>
  <c r="FE6" i="30"/>
  <c r="FU6" i="30"/>
  <c r="FI9" i="30"/>
  <c r="FY9" i="30"/>
  <c r="FB11" i="30"/>
  <c r="FR11" i="30"/>
  <c r="EY12" i="30"/>
  <c r="FO12" i="30"/>
  <c r="GE12" i="30"/>
  <c r="FD17" i="30"/>
  <c r="FT17" i="30"/>
  <c r="FA18" i="30"/>
  <c r="FQ18" i="30"/>
  <c r="GG18" i="30"/>
  <c r="FM19" i="30"/>
  <c r="GC19" i="30"/>
  <c r="FF21" i="30"/>
  <c r="FV21" i="30"/>
  <c r="EY23" i="30"/>
  <c r="FO23" i="30"/>
  <c r="GE23" i="30"/>
  <c r="EZ29" i="30"/>
  <c r="FP29" i="30"/>
  <c r="GF29" i="30"/>
  <c r="FM30" i="30"/>
  <c r="GC30" i="30"/>
  <c r="FI31" i="30"/>
  <c r="FY31" i="30"/>
  <c r="FB33" i="30"/>
  <c r="FR33" i="30"/>
  <c r="FF6" i="30"/>
  <c r="FV6" i="30"/>
  <c r="EZ12" i="30"/>
  <c r="FP12" i="30"/>
  <c r="GF12" i="30"/>
  <c r="FE17" i="30"/>
  <c r="FU17" i="30"/>
  <c r="FB18" i="30"/>
  <c r="FR18" i="30"/>
  <c r="GH18" i="30"/>
  <c r="FN19" i="30"/>
  <c r="GD19" i="30"/>
  <c r="FC33" i="30"/>
  <c r="FS33" i="30"/>
  <c r="FG6" i="30"/>
  <c r="FW6" i="30"/>
  <c r="FA12" i="30"/>
  <c r="FQ12" i="30"/>
  <c r="GG12" i="30"/>
  <c r="EY19" i="30"/>
  <c r="FO19" i="30"/>
  <c r="GE19" i="30"/>
  <c r="FD33" i="30"/>
  <c r="FT33" i="30"/>
  <c r="FB12" i="30"/>
  <c r="FR12" i="30"/>
  <c r="EZ19" i="30"/>
  <c r="FP19" i="30"/>
  <c r="GF19" i="30"/>
  <c r="EW10" i="30"/>
  <c r="EX10" i="30"/>
  <c r="EX30" i="30"/>
  <c r="EW30" i="30"/>
  <c r="EX32" i="30"/>
  <c r="EX21" i="30"/>
  <c r="EX7" i="30"/>
  <c r="EW32" i="30"/>
  <c r="EW21" i="30"/>
  <c r="EW7" i="30"/>
  <c r="EW19" i="30"/>
  <c r="EW22" i="30"/>
  <c r="EX19" i="30"/>
  <c r="EX22" i="30"/>
  <c r="EW8" i="30"/>
  <c r="EW11" i="30"/>
  <c r="EX8" i="30"/>
  <c r="EX11" i="30"/>
  <c r="EW31" i="30"/>
  <c r="EW20" i="30"/>
  <c r="EX31" i="30"/>
  <c r="EX20" i="30"/>
  <c r="EW23" i="30"/>
  <c r="EX23" i="30"/>
  <c r="EW9" i="30"/>
  <c r="EW12" i="30"/>
  <c r="EX9" i="30"/>
  <c r="EX12" i="30"/>
  <c r="EW29" i="30"/>
  <c r="EX29" i="30"/>
  <c r="EV7" i="30"/>
  <c r="EV8" i="30"/>
  <c r="EV30" i="30"/>
  <c r="EV19" i="30"/>
  <c r="EV20" i="30"/>
  <c r="EV29" i="30"/>
  <c r="EV10" i="30"/>
  <c r="EV9" i="30"/>
  <c r="EV21" i="30"/>
  <c r="EV22" i="30"/>
  <c r="EV32" i="30"/>
  <c r="EV31" i="30"/>
  <c r="EV23" i="30"/>
  <c r="EV12" i="30"/>
  <c r="EV24" i="30"/>
  <c r="EV11" i="30"/>
  <c r="X2" i="31"/>
  <c r="AZ2" i="31"/>
  <c r="BR2" i="31"/>
  <c r="CB2" i="31"/>
  <c r="DG2" i="31"/>
  <c r="DO2" i="31"/>
  <c r="DY2" i="31"/>
  <c r="ES2" i="31"/>
  <c r="P2" i="31"/>
  <c r="AG2" i="31"/>
  <c r="AP2" i="31"/>
  <c r="BH2" i="31"/>
  <c r="DK13" i="30"/>
  <c r="EA13" i="30"/>
  <c r="EQ13" i="30"/>
  <c r="DK14" i="30"/>
  <c r="EA14" i="30"/>
  <c r="EE5" i="30"/>
  <c r="DP5" i="30"/>
  <c r="EF5" i="30"/>
  <c r="DM5" i="30"/>
  <c r="EC5" i="30"/>
  <c r="DJ9" i="30"/>
  <c r="DK10" i="30"/>
  <c r="EA10" i="30"/>
  <c r="DO5" i="30"/>
  <c r="DJ8" i="30"/>
  <c r="DZ9" i="30"/>
  <c r="ED5" i="30"/>
  <c r="EP8" i="30"/>
  <c r="DZ8" i="30"/>
  <c r="DN5" i="30"/>
  <c r="EH5" i="30"/>
  <c r="DX5" i="30"/>
  <c r="DI5" i="30"/>
  <c r="DY5" i="30"/>
  <c r="EO5" i="30"/>
  <c r="DU6" i="30"/>
  <c r="EK6" i="30"/>
  <c r="DZ5" i="30"/>
  <c r="EP5" i="30"/>
  <c r="DV6" i="30"/>
  <c r="EL6" i="30"/>
  <c r="DV7" i="30"/>
  <c r="DR5" i="30"/>
  <c r="ED6" i="30"/>
  <c r="DH5" i="30"/>
  <c r="DK5" i="30"/>
  <c r="EQ5" i="30"/>
  <c r="EM6" i="30"/>
  <c r="DU5" i="30"/>
  <c r="EL5" i="30"/>
  <c r="DN6" i="30"/>
  <c r="EN5" i="30"/>
  <c r="DJ5" i="30"/>
  <c r="EA5" i="30"/>
  <c r="DW6" i="30"/>
  <c r="DL5" i="30"/>
  <c r="EB5" i="30"/>
  <c r="DH6" i="30"/>
  <c r="DX6" i="30"/>
  <c r="EN6" i="30"/>
  <c r="DH7" i="30"/>
  <c r="DX7" i="30"/>
  <c r="EN7" i="30"/>
  <c r="DQ5" i="30"/>
  <c r="EG5" i="30"/>
  <c r="DM6" i="30"/>
  <c r="EC6" i="30"/>
  <c r="EI5" i="30"/>
  <c r="DS5" i="30"/>
  <c r="DT5" i="30"/>
  <c r="EJ5" i="30"/>
  <c r="DP6" i="30"/>
  <c r="EF6" i="30"/>
  <c r="DQ13" i="30"/>
  <c r="EG13" i="30"/>
  <c r="DV5" i="30"/>
  <c r="DW5" i="30"/>
  <c r="EK5" i="30"/>
  <c r="EM5" i="30"/>
  <c r="DQ14" i="30"/>
  <c r="EG14" i="30"/>
  <c r="DK12" i="30"/>
  <c r="EA12" i="30"/>
  <c r="EQ12" i="30"/>
  <c r="DQ12" i="30"/>
  <c r="DK11" i="30"/>
  <c r="EA11" i="30"/>
  <c r="EQ11" i="30"/>
  <c r="EQ10" i="30"/>
  <c r="DY7" i="30"/>
  <c r="EL7" i="30"/>
  <c r="EI7" i="30"/>
  <c r="DS7" i="30"/>
  <c r="EO7" i="30"/>
  <c r="DI7" i="30"/>
  <c r="EP9" i="30"/>
  <c r="EQ14" i="30"/>
  <c r="DS8" i="30"/>
  <c r="DS10" i="30"/>
  <c r="EI11" i="30"/>
  <c r="DS13" i="30"/>
  <c r="DT10" i="30"/>
  <c r="EJ10" i="30"/>
  <c r="DT11" i="30"/>
  <c r="EJ11" i="30"/>
  <c r="DT12" i="30"/>
  <c r="EJ12" i="30"/>
  <c r="DT13" i="30"/>
  <c r="EJ13" i="30"/>
  <c r="DT14" i="30"/>
  <c r="EJ14" i="30"/>
  <c r="EI9" i="30"/>
  <c r="EI13" i="30"/>
  <c r="DS9" i="30"/>
  <c r="EI10" i="30"/>
  <c r="DS11" i="30"/>
  <c r="DS12" i="30"/>
  <c r="DS14" i="30"/>
  <c r="EI14" i="30"/>
  <c r="DV8" i="30"/>
  <c r="EL8" i="30"/>
  <c r="DV9" i="30"/>
  <c r="EL9" i="30"/>
  <c r="DV10" i="30"/>
  <c r="EL10" i="30"/>
  <c r="DV11" i="30"/>
  <c r="EL11" i="30"/>
  <c r="DV12" i="30"/>
  <c r="EL12" i="30"/>
  <c r="DV13" i="30"/>
  <c r="EL13" i="30"/>
  <c r="DV14" i="30"/>
  <c r="EL14" i="30"/>
  <c r="DW14" i="30"/>
  <c r="EM14" i="30"/>
  <c r="EI12" i="30"/>
  <c r="DH8" i="30"/>
  <c r="DX8" i="30"/>
  <c r="EN8" i="30"/>
  <c r="DH9" i="30"/>
  <c r="DX9" i="30"/>
  <c r="DH10" i="30"/>
  <c r="DX10" i="30"/>
  <c r="EN10" i="30"/>
  <c r="DH11" i="30"/>
  <c r="DX11" i="30"/>
  <c r="EN11" i="30"/>
  <c r="DH12" i="30"/>
  <c r="DX12" i="30"/>
  <c r="EN12" i="30"/>
  <c r="DH13" i="30"/>
  <c r="DX13" i="30"/>
  <c r="EN13" i="30"/>
  <c r="DH14" i="30"/>
  <c r="DX14" i="30"/>
  <c r="EI8" i="30"/>
  <c r="EN9" i="30"/>
  <c r="DI8" i="30"/>
  <c r="DY8" i="30"/>
  <c r="EO8" i="30"/>
  <c r="DI9" i="30"/>
  <c r="DY9" i="30"/>
  <c r="EO9" i="30"/>
  <c r="DI10" i="30"/>
  <c r="DY10" i="30"/>
  <c r="EO10" i="30"/>
  <c r="DI11" i="30"/>
  <c r="DY11" i="30"/>
  <c r="EO11" i="30"/>
  <c r="DI12" i="30"/>
  <c r="DY12" i="30"/>
  <c r="EO12" i="30"/>
  <c r="DI13" i="30"/>
  <c r="DY13" i="30"/>
  <c r="EO13" i="30"/>
  <c r="DI14" i="30"/>
  <c r="DY14" i="30"/>
  <c r="EO14" i="30"/>
  <c r="DJ10" i="30"/>
  <c r="DJ11" i="30"/>
  <c r="DZ11" i="30"/>
  <c r="EA6" i="30"/>
  <c r="DL6" i="30"/>
  <c r="EB6" i="30"/>
  <c r="EQ6" i="30"/>
  <c r="EE6" i="30"/>
  <c r="DQ6" i="30"/>
  <c r="EG6" i="30"/>
  <c r="DO6" i="30"/>
  <c r="DR6" i="30"/>
  <c r="DS6" i="30"/>
  <c r="EI6" i="30"/>
  <c r="DK6" i="30"/>
  <c r="EH6" i="30"/>
  <c r="DT6" i="30"/>
  <c r="EJ6" i="30"/>
  <c r="DI6" i="30"/>
  <c r="DY6" i="30"/>
  <c r="EO6" i="30"/>
  <c r="DJ6" i="30"/>
  <c r="DZ6" i="30"/>
  <c r="EP6" i="30"/>
  <c r="EJ8" i="30"/>
  <c r="EJ9" i="30"/>
  <c r="DU7" i="30"/>
  <c r="EK7" i="30"/>
  <c r="DU8" i="30"/>
  <c r="EK8" i="30"/>
  <c r="DU9" i="30"/>
  <c r="EK9" i="30"/>
  <c r="DU10" i="30"/>
  <c r="EK10" i="30"/>
  <c r="DU11" i="30"/>
  <c r="EK11" i="30"/>
  <c r="DU12" i="30"/>
  <c r="EK12" i="30"/>
  <c r="DU13" i="30"/>
  <c r="EK13" i="30"/>
  <c r="DU14" i="30"/>
  <c r="EK14" i="30"/>
  <c r="EJ7" i="30"/>
  <c r="DT7" i="30"/>
  <c r="DT8" i="30"/>
  <c r="DT9" i="30"/>
  <c r="DW7" i="30"/>
  <c r="EM7" i="30"/>
  <c r="DW8" i="30"/>
  <c r="EM8" i="30"/>
  <c r="DW9" i="30"/>
  <c r="EM9" i="30"/>
  <c r="DW10" i="30"/>
  <c r="EM10" i="30"/>
  <c r="DW11" i="30"/>
  <c r="EM11" i="30"/>
  <c r="DW12" i="30"/>
  <c r="EM12" i="30"/>
  <c r="DW13" i="30"/>
  <c r="EM13" i="30"/>
  <c r="EN14" i="30"/>
  <c r="DZ10" i="30"/>
  <c r="EP10" i="30"/>
  <c r="DJ12" i="30"/>
  <c r="DZ12" i="30"/>
  <c r="EP12" i="30"/>
  <c r="DJ13" i="30"/>
  <c r="DZ13" i="30"/>
  <c r="EP13" i="30"/>
  <c r="DJ14" i="30"/>
  <c r="DZ14" i="30"/>
  <c r="EP14" i="30"/>
  <c r="DK7" i="30"/>
  <c r="DK8" i="30"/>
  <c r="EQ9" i="30"/>
  <c r="EA9" i="30"/>
  <c r="EB9" i="30"/>
  <c r="EB10" i="30"/>
  <c r="DL11" i="30"/>
  <c r="EB11" i="30"/>
  <c r="DL12" i="30"/>
  <c r="EB12" i="30"/>
  <c r="DL13" i="30"/>
  <c r="EB13" i="30"/>
  <c r="DL14" i="30"/>
  <c r="EB14" i="30"/>
  <c r="EQ8" i="30"/>
  <c r="DL7" i="30"/>
  <c r="DL8" i="30"/>
  <c r="DL9" i="30"/>
  <c r="DL10" i="30"/>
  <c r="DM7" i="30"/>
  <c r="EC7" i="30"/>
  <c r="DM8" i="30"/>
  <c r="EC8" i="30"/>
  <c r="DM9" i="30"/>
  <c r="EC9" i="30"/>
  <c r="DM10" i="30"/>
  <c r="EC10" i="30"/>
  <c r="DM11" i="30"/>
  <c r="EC11" i="30"/>
  <c r="DM12" i="30"/>
  <c r="EC12" i="30"/>
  <c r="DM13" i="30"/>
  <c r="EC13" i="30"/>
  <c r="DM14" i="30"/>
  <c r="EC14" i="30"/>
  <c r="EA8" i="30"/>
  <c r="DK9" i="30"/>
  <c r="EB7" i="30"/>
  <c r="EB8" i="30"/>
  <c r="DN7" i="30"/>
  <c r="ED7" i="30"/>
  <c r="DN8" i="30"/>
  <c r="ED8" i="30"/>
  <c r="DN9" i="30"/>
  <c r="ED9" i="30"/>
  <c r="DN11" i="30"/>
  <c r="ED11" i="30"/>
  <c r="DN12" i="30"/>
  <c r="ED12" i="30"/>
  <c r="DN13" i="30"/>
  <c r="ED13" i="30"/>
  <c r="DO7" i="30"/>
  <c r="EE7" i="30"/>
  <c r="DO8" i="30"/>
  <c r="EE8" i="30"/>
  <c r="DO9" i="30"/>
  <c r="EE9" i="30"/>
  <c r="DO10" i="30"/>
  <c r="EE10" i="30"/>
  <c r="DO11" i="30"/>
  <c r="EE11" i="30"/>
  <c r="DO12" i="30"/>
  <c r="EE12" i="30"/>
  <c r="DO13" i="30"/>
  <c r="EE13" i="30"/>
  <c r="DO14" i="30"/>
  <c r="EE14" i="30"/>
  <c r="EQ7" i="30"/>
  <c r="EF7" i="30"/>
  <c r="EF8" i="30"/>
  <c r="DP9" i="30"/>
  <c r="EF9" i="30"/>
  <c r="DP10" i="30"/>
  <c r="EF10" i="30"/>
  <c r="DP11" i="30"/>
  <c r="EF11" i="30"/>
  <c r="DP12" i="30"/>
  <c r="EF12" i="30"/>
  <c r="DP13" i="30"/>
  <c r="EF13" i="30"/>
  <c r="DP14" i="30"/>
  <c r="EF14" i="30"/>
  <c r="EA7" i="30"/>
  <c r="EG8" i="30"/>
  <c r="DQ9" i="30"/>
  <c r="EG10" i="30"/>
  <c r="EG11" i="30"/>
  <c r="EG12" i="30"/>
  <c r="DP7" i="30"/>
  <c r="DP8" i="30"/>
  <c r="DQ7" i="30"/>
  <c r="EG7" i="30"/>
  <c r="DQ8" i="30"/>
  <c r="EG9" i="30"/>
  <c r="DQ10" i="30"/>
  <c r="DQ11" i="30"/>
  <c r="DR7" i="30"/>
  <c r="EH7" i="30"/>
  <c r="DJ7" i="30"/>
  <c r="DZ7" i="30"/>
  <c r="EP7" i="30"/>
  <c r="DR8" i="30"/>
  <c r="EH8" i="30"/>
  <c r="DR9" i="30"/>
  <c r="EH9" i="30"/>
  <c r="DR10" i="30"/>
  <c r="EH10" i="30"/>
  <c r="DN10" i="30"/>
  <c r="ED10" i="30"/>
  <c r="DR11" i="30"/>
  <c r="EH11" i="30"/>
  <c r="EP11" i="30"/>
  <c r="DR12" i="30"/>
  <c r="EH12" i="30"/>
  <c r="DR13" i="30"/>
  <c r="EH13" i="30"/>
  <c r="DR14" i="30"/>
  <c r="EH14" i="30"/>
  <c r="DN14" i="30"/>
  <c r="ED14" i="30"/>
  <c r="AA17" i="20"/>
  <c r="Z17" i="20"/>
  <c r="Y17" i="20"/>
  <c r="X17" i="20"/>
  <c r="W17" i="20"/>
  <c r="C31" i="9"/>
  <c r="C29" i="9"/>
  <c r="C27" i="9"/>
  <c r="C25" i="9"/>
  <c r="C23" i="9"/>
  <c r="C7" i="9"/>
  <c r="C5" i="9"/>
  <c r="AS18" i="1"/>
  <c r="AR18" i="1"/>
  <c r="AQ18" i="1"/>
  <c r="AS17" i="1"/>
  <c r="AR17" i="1"/>
  <c r="AQ17" i="1"/>
  <c r="AS16" i="1"/>
  <c r="AR16" i="1"/>
  <c r="AQ16" i="1"/>
  <c r="AS15" i="1"/>
  <c r="AR15" i="1"/>
  <c r="AQ15" i="1"/>
  <c r="AS14" i="1"/>
  <c r="BH17" i="34" s="1"/>
  <c r="AR14" i="1"/>
  <c r="BG17" i="34" s="1"/>
  <c r="AQ14" i="1"/>
  <c r="BF17" i="34" s="1"/>
  <c r="AS12" i="1"/>
  <c r="AR12" i="1"/>
  <c r="AQ12" i="1"/>
  <c r="AS10" i="1"/>
  <c r="AR10" i="1"/>
  <c r="AQ10" i="1"/>
  <c r="AS9" i="1"/>
  <c r="AR9" i="1"/>
  <c r="AQ9" i="1"/>
  <c r="AS8" i="1"/>
  <c r="AD17" i="34" s="1"/>
  <c r="AR8" i="1"/>
  <c r="AC17" i="34" s="1"/>
  <c r="AQ8" i="1"/>
  <c r="AB17" i="34" s="1"/>
  <c r="AS5" i="1"/>
  <c r="AR5" i="1"/>
  <c r="AQ5" i="1"/>
  <c r="AN17" i="34" l="1"/>
  <c r="BU17" i="34"/>
  <c r="BU7" i="34" s="1"/>
  <c r="BL17" i="34"/>
  <c r="BK17" i="34"/>
  <c r="BK7" i="34" s="1"/>
  <c r="BQ17" i="34"/>
  <c r="BQ8" i="34" s="1"/>
  <c r="AG17" i="34"/>
  <c r="AG6" i="34" s="1"/>
  <c r="AH17" i="34"/>
  <c r="BR17" i="34"/>
  <c r="AI17" i="34"/>
  <c r="CB17" i="34"/>
  <c r="BZ17" i="34"/>
  <c r="BZ7" i="34" s="1"/>
  <c r="BV17" i="34"/>
  <c r="BV8" i="34" s="1"/>
  <c r="AM17" i="34"/>
  <c r="AL17" i="34"/>
  <c r="AL8" i="34" s="1"/>
  <c r="CA17" i="34"/>
  <c r="AV17" i="34"/>
  <c r="AV5" i="34" s="1"/>
  <c r="BA17" i="34"/>
  <c r="AW17" i="34"/>
  <c r="AW6" i="34" s="1"/>
  <c r="BB17" i="34"/>
  <c r="AX17" i="34"/>
  <c r="BC17" i="34"/>
  <c r="BW17" i="34"/>
  <c r="AS17" i="34"/>
  <c r="AR17" i="34"/>
  <c r="BM17" i="34"/>
  <c r="BP17" i="34"/>
  <c r="BP5" i="34" s="1"/>
  <c r="AQ17" i="34"/>
  <c r="BF12" i="34"/>
  <c r="BF11" i="34"/>
  <c r="BF10" i="34"/>
  <c r="BF6" i="34"/>
  <c r="BF14" i="34"/>
  <c r="BF5" i="34"/>
  <c r="BF8" i="34"/>
  <c r="BF9" i="34"/>
  <c r="BF7" i="34"/>
  <c r="BF13" i="34"/>
  <c r="M17" i="34"/>
  <c r="N17" i="27"/>
  <c r="O17" i="27"/>
  <c r="N17" i="34"/>
  <c r="AB14" i="34"/>
  <c r="AB7" i="34"/>
  <c r="AB13" i="34"/>
  <c r="AB11" i="34"/>
  <c r="AB12" i="34"/>
  <c r="AB6" i="34"/>
  <c r="AB10" i="34"/>
  <c r="AB5" i="34"/>
  <c r="AB8" i="34"/>
  <c r="AB9" i="34"/>
  <c r="P17" i="27"/>
  <c r="O17" i="34"/>
  <c r="CL2" i="31"/>
  <c r="EI2" i="31"/>
  <c r="BU5" i="34" l="1"/>
  <c r="BU9" i="34"/>
  <c r="BU14" i="34"/>
  <c r="BU10" i="34"/>
  <c r="BQ13" i="34"/>
  <c r="BQ12" i="34"/>
  <c r="BQ6" i="34"/>
  <c r="BK6" i="34"/>
  <c r="BK11" i="34"/>
  <c r="BK5" i="34"/>
  <c r="BK13" i="34"/>
  <c r="BK9" i="34"/>
  <c r="BK10" i="34"/>
  <c r="BK8" i="34"/>
  <c r="BU12" i="34"/>
  <c r="BU6" i="34"/>
  <c r="BU11" i="34"/>
  <c r="BU13" i="34"/>
  <c r="BU8" i="34"/>
  <c r="AG13" i="34"/>
  <c r="AG7" i="34"/>
  <c r="AG9" i="34"/>
  <c r="BQ7" i="34"/>
  <c r="BP10" i="34"/>
  <c r="BQ9" i="34"/>
  <c r="BQ5" i="34"/>
  <c r="BQ14" i="34"/>
  <c r="BQ10" i="34"/>
  <c r="BQ11" i="34"/>
  <c r="BP13" i="34"/>
  <c r="BV7" i="34"/>
  <c r="BV9" i="34"/>
  <c r="BV5" i="34"/>
  <c r="BV10" i="34"/>
  <c r="BV13" i="34"/>
  <c r="AG5" i="34"/>
  <c r="AV10" i="34"/>
  <c r="BV11" i="34"/>
  <c r="BV6" i="34"/>
  <c r="BV12" i="34"/>
  <c r="BV14" i="34"/>
  <c r="AG12" i="34"/>
  <c r="BK14" i="34"/>
  <c r="BK12" i="34"/>
  <c r="AV14" i="34"/>
  <c r="BZ8" i="34"/>
  <c r="AV6" i="34"/>
  <c r="BZ6" i="34"/>
  <c r="AL10" i="34"/>
  <c r="BZ9" i="34"/>
  <c r="AL13" i="34"/>
  <c r="BZ13" i="34"/>
  <c r="BZ5" i="34"/>
  <c r="BZ11" i="34"/>
  <c r="BZ14" i="34"/>
  <c r="BZ12" i="34"/>
  <c r="BZ10" i="34"/>
  <c r="AG8" i="34"/>
  <c r="AG14" i="34"/>
  <c r="AG11" i="34"/>
  <c r="AL14" i="34"/>
  <c r="AV11" i="34"/>
  <c r="AW10" i="34"/>
  <c r="AW9" i="34"/>
  <c r="AL12" i="34"/>
  <c r="AW7" i="34"/>
  <c r="AW11" i="34"/>
  <c r="AL9" i="34"/>
  <c r="AW13" i="34"/>
  <c r="AL6" i="34"/>
  <c r="AL11" i="34"/>
  <c r="AW12" i="34"/>
  <c r="AL7" i="34"/>
  <c r="AW14" i="34"/>
  <c r="AV13" i="34"/>
  <c r="AV7" i="34"/>
  <c r="AV8" i="34"/>
  <c r="AV9" i="34"/>
  <c r="AG10" i="34"/>
  <c r="AV12" i="34"/>
  <c r="AL5" i="34"/>
  <c r="AQ8" i="34"/>
  <c r="AQ12" i="34"/>
  <c r="AQ13" i="34"/>
  <c r="AQ14" i="34"/>
  <c r="AQ11" i="34"/>
  <c r="AQ6" i="34"/>
  <c r="AQ10" i="34"/>
  <c r="AQ9" i="34"/>
  <c r="AQ5" i="34"/>
  <c r="AQ7" i="34"/>
  <c r="BP12" i="34"/>
  <c r="BB7" i="34"/>
  <c r="BB6" i="34"/>
  <c r="BB10" i="34"/>
  <c r="BB13" i="34"/>
  <c r="BB14" i="34"/>
  <c r="BB5" i="34"/>
  <c r="BB9" i="34"/>
  <c r="BB8" i="34"/>
  <c r="BB11" i="34"/>
  <c r="BB12" i="34"/>
  <c r="BP11" i="34"/>
  <c r="BP6" i="34"/>
  <c r="BA12" i="34"/>
  <c r="BA8" i="34"/>
  <c r="BA11" i="34"/>
  <c r="BA6" i="34"/>
  <c r="BA13" i="34"/>
  <c r="BA10" i="34"/>
  <c r="BA9" i="34"/>
  <c r="BA7" i="34"/>
  <c r="BA5" i="34"/>
  <c r="BA14" i="34"/>
  <c r="BP8" i="34"/>
  <c r="BP7" i="34"/>
  <c r="BP9" i="34"/>
  <c r="AW8" i="34"/>
  <c r="BP14" i="34"/>
  <c r="AW5" i="34"/>
  <c r="BF18" i="34"/>
  <c r="AB18" i="34"/>
  <c r="N14" i="34"/>
  <c r="N8" i="34"/>
  <c r="N13" i="34"/>
  <c r="N5" i="34"/>
  <c r="N12" i="34"/>
  <c r="N7" i="34"/>
  <c r="N9" i="34"/>
  <c r="N10" i="34"/>
  <c r="N11" i="34"/>
  <c r="N6" i="34"/>
  <c r="M10" i="34"/>
  <c r="M5" i="34"/>
  <c r="M14" i="34"/>
  <c r="M7" i="34"/>
  <c r="M11" i="34"/>
  <c r="M6" i="34"/>
  <c r="M8" i="34"/>
  <c r="M13" i="34"/>
  <c r="M12" i="34"/>
  <c r="M9" i="34"/>
  <c r="BU18" i="34" l="1"/>
  <c r="BQ18" i="34"/>
  <c r="BV18" i="34"/>
  <c r="BK18" i="34"/>
  <c r="AG18" i="34"/>
  <c r="BZ18" i="34"/>
  <c r="AL18" i="34"/>
  <c r="AV18" i="34"/>
  <c r="BP18" i="34"/>
  <c r="AW18" i="34"/>
  <c r="BA18" i="34"/>
  <c r="AQ18" i="34"/>
  <c r="BB18" i="34"/>
  <c r="N18" i="34"/>
  <c r="M18" i="34"/>
  <c r="EI4" i="31"/>
  <c r="DY4" i="31"/>
  <c r="DO4" i="31"/>
  <c r="CL4" i="31"/>
  <c r="CB4" i="31"/>
  <c r="BR4" i="31"/>
  <c r="BH4" i="31"/>
  <c r="AM18" i="1"/>
  <c r="AL18" i="1"/>
  <c r="AM17" i="1"/>
  <c r="AL17" i="1"/>
  <c r="AM16" i="1"/>
  <c r="AL16" i="1"/>
  <c r="AM15" i="1"/>
  <c r="AL15" i="1"/>
  <c r="AM14" i="1"/>
  <c r="AL14" i="1"/>
  <c r="AM12" i="1"/>
  <c r="AL12" i="1"/>
  <c r="AM10" i="1"/>
  <c r="AL10" i="1"/>
  <c r="AM9" i="1"/>
  <c r="AL9" i="1"/>
  <c r="AM8" i="1"/>
  <c r="AL8" i="1"/>
  <c r="AL5" i="1"/>
  <c r="C7" i="31" l="1"/>
  <c r="F3" i="31" s="1"/>
  <c r="DY3" i="31" s="1"/>
  <c r="BI3" i="27"/>
  <c r="I34" i="30"/>
  <c r="I10" i="30"/>
  <c r="I12" i="30"/>
  <c r="I24" i="30"/>
  <c r="I17" i="30"/>
  <c r="I29" i="30"/>
  <c r="I15" i="30"/>
  <c r="I27" i="30"/>
  <c r="I25" i="30"/>
  <c r="I38" i="30"/>
  <c r="I42" i="30"/>
  <c r="I46" i="30"/>
  <c r="I13" i="30"/>
  <c r="I20" i="30"/>
  <c r="I16" i="30"/>
  <c r="I28" i="30"/>
  <c r="I39" i="30"/>
  <c r="I43" i="30"/>
  <c r="I22" i="30"/>
  <c r="I6" i="30"/>
  <c r="I7" i="30"/>
  <c r="I11" i="30"/>
  <c r="I18" i="30"/>
  <c r="I19" i="30"/>
  <c r="I41" i="30"/>
  <c r="I30" i="30"/>
  <c r="I31" i="30"/>
  <c r="I45" i="30"/>
  <c r="I9" i="30"/>
  <c r="I33" i="30"/>
  <c r="I37" i="30"/>
  <c r="I40" i="30"/>
  <c r="I44" i="30"/>
  <c r="I14" i="30"/>
  <c r="I26" i="30"/>
  <c r="I8" i="30"/>
  <c r="I32" i="30"/>
  <c r="I21" i="30"/>
  <c r="I23" i="30"/>
  <c r="DE6" i="30"/>
  <c r="AZ3" i="31" l="1"/>
  <c r="AP3" i="31"/>
  <c r="X3" i="31"/>
  <c r="P3" i="31"/>
  <c r="ES3" i="31"/>
  <c r="DO3" i="31"/>
  <c r="CV3" i="31"/>
  <c r="AG3" i="31"/>
  <c r="BR3" i="31"/>
  <c r="BH3" i="31"/>
  <c r="CB3" i="31"/>
  <c r="DG3" i="31"/>
  <c r="EI3" i="31"/>
  <c r="CL3" i="31"/>
  <c r="GL19" i="30"/>
  <c r="GL31" i="30"/>
  <c r="GL29" i="30"/>
  <c r="GL21" i="30"/>
  <c r="GL7" i="30"/>
  <c r="GL11" i="30"/>
  <c r="AX17" i="20"/>
  <c r="AW17" i="20"/>
  <c r="AV17" i="20"/>
  <c r="AU17" i="20"/>
  <c r="DF14" i="30" l="1"/>
  <c r="ER14" i="30"/>
  <c r="BC39" i="30"/>
  <c r="BC40" i="30" s="1"/>
  <c r="ER13" i="30"/>
  <c r="DF13" i="30"/>
  <c r="DE12" i="30"/>
  <c r="DG11" i="30"/>
  <c r="DE11" i="30"/>
  <c r="ER10" i="30"/>
  <c r="ER7" i="30"/>
  <c r="ER12" i="30"/>
  <c r="ER11" i="30"/>
  <c r="DA5" i="30"/>
  <c r="BP5" i="30"/>
  <c r="BO5" i="30"/>
  <c r="BN5" i="30"/>
  <c r="E14" i="27"/>
  <c r="Z14" i="27" s="1"/>
  <c r="D14" i="27"/>
  <c r="AZ14" i="27" s="1"/>
  <c r="C14" i="27"/>
  <c r="AP14" i="27" s="1"/>
  <c r="B14" i="27"/>
  <c r="E13" i="27"/>
  <c r="Z13" i="27" s="1"/>
  <c r="D13" i="27"/>
  <c r="AZ13" i="27" s="1"/>
  <c r="C13" i="27"/>
  <c r="AP13" i="27" s="1"/>
  <c r="B13" i="27"/>
  <c r="E12" i="27"/>
  <c r="Z12" i="27" s="1"/>
  <c r="D12" i="27"/>
  <c r="AZ12" i="27" s="1"/>
  <c r="C12" i="27"/>
  <c r="AP12" i="27" s="1"/>
  <c r="AU12" i="27" s="1"/>
  <c r="B12" i="27"/>
  <c r="E11" i="27"/>
  <c r="Z11" i="27" s="1"/>
  <c r="D11" i="27"/>
  <c r="AZ11" i="27" s="1"/>
  <c r="C11" i="27"/>
  <c r="AP11" i="27" s="1"/>
  <c r="E10" i="27"/>
  <c r="Z10" i="27" s="1"/>
  <c r="D10" i="27"/>
  <c r="AZ10" i="27" s="1"/>
  <c r="C10" i="27"/>
  <c r="AP10" i="27" s="1"/>
  <c r="B10" i="27"/>
  <c r="E9" i="27"/>
  <c r="Z9" i="27" s="1"/>
  <c r="D9" i="27"/>
  <c r="AZ9" i="27" s="1"/>
  <c r="C9" i="27"/>
  <c r="AP9" i="27" s="1"/>
  <c r="B9" i="27"/>
  <c r="E8" i="27"/>
  <c r="Z8" i="27" s="1"/>
  <c r="D8" i="27"/>
  <c r="AZ8" i="27" s="1"/>
  <c r="C8" i="27"/>
  <c r="AP8" i="27" s="1"/>
  <c r="AU8" i="27" s="1"/>
  <c r="B8" i="27"/>
  <c r="E7" i="27"/>
  <c r="Z7" i="27" s="1"/>
  <c r="D7" i="27"/>
  <c r="AZ7" i="27" s="1"/>
  <c r="C7" i="27"/>
  <c r="AP7" i="27" s="1"/>
  <c r="B7" i="27"/>
  <c r="E6" i="27"/>
  <c r="Z6" i="27" s="1"/>
  <c r="D6" i="27"/>
  <c r="AZ6" i="27" s="1"/>
  <c r="C6" i="27"/>
  <c r="AP6" i="27" s="1"/>
  <c r="B6" i="27"/>
  <c r="E5" i="27"/>
  <c r="Z5" i="27" s="1"/>
  <c r="D5" i="27"/>
  <c r="AZ5" i="27" s="1"/>
  <c r="C5" i="27"/>
  <c r="AP5" i="27" s="1"/>
  <c r="B5" i="27"/>
  <c r="AK14" i="27"/>
  <c r="AJ14" i="27"/>
  <c r="AK13" i="27"/>
  <c r="AJ13" i="27"/>
  <c r="AK12" i="27"/>
  <c r="AJ12" i="27"/>
  <c r="AK11" i="27"/>
  <c r="AJ11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14" i="27"/>
  <c r="AH14" i="27"/>
  <c r="AI13" i="27"/>
  <c r="AH13" i="27"/>
  <c r="AI12" i="27"/>
  <c r="AH12" i="27"/>
  <c r="AI11" i="27"/>
  <c r="AH11" i="27"/>
  <c r="AI10" i="27"/>
  <c r="AH10" i="27"/>
  <c r="AI9" i="27"/>
  <c r="AH9" i="27"/>
  <c r="AI8" i="27"/>
  <c r="AH8" i="27"/>
  <c r="AI7" i="27"/>
  <c r="AH7" i="27"/>
  <c r="AI6" i="27"/>
  <c r="AH6" i="27"/>
  <c r="AI5" i="27"/>
  <c r="AH5" i="27"/>
  <c r="BN14" i="27"/>
  <c r="BM14" i="27"/>
  <c r="BL14" i="27"/>
  <c r="BK14" i="27"/>
  <c r="BJ14" i="27"/>
  <c r="BC14" i="27"/>
  <c r="AG14" i="27"/>
  <c r="BN13" i="27"/>
  <c r="BM13" i="27"/>
  <c r="BL13" i="27"/>
  <c r="BK13" i="27"/>
  <c r="BJ13" i="27"/>
  <c r="BC13" i="27"/>
  <c r="AG13" i="27"/>
  <c r="BN12" i="27"/>
  <c r="BM12" i="27"/>
  <c r="BL12" i="27"/>
  <c r="BK12" i="27"/>
  <c r="BJ12" i="27"/>
  <c r="BC12" i="27"/>
  <c r="AG12" i="27"/>
  <c r="BN11" i="27"/>
  <c r="BM11" i="27"/>
  <c r="BL11" i="27"/>
  <c r="BK11" i="27"/>
  <c r="BJ11" i="27"/>
  <c r="BC11" i="27"/>
  <c r="AG11" i="27"/>
  <c r="BN10" i="27"/>
  <c r="BM10" i="27"/>
  <c r="BL10" i="27"/>
  <c r="BK10" i="27"/>
  <c r="BJ10" i="27"/>
  <c r="BC10" i="27"/>
  <c r="AG10" i="27"/>
  <c r="BN9" i="27"/>
  <c r="BM9" i="27"/>
  <c r="BL9" i="27"/>
  <c r="BK9" i="27"/>
  <c r="BJ9" i="27"/>
  <c r="BC9" i="27"/>
  <c r="AG9" i="27"/>
  <c r="BN8" i="27"/>
  <c r="BM8" i="27"/>
  <c r="BL8" i="27"/>
  <c r="BK8" i="27"/>
  <c r="BJ8" i="27"/>
  <c r="BC8" i="27"/>
  <c r="AG8" i="27"/>
  <c r="BN7" i="27"/>
  <c r="BM7" i="27"/>
  <c r="BL7" i="27"/>
  <c r="BK7" i="27"/>
  <c r="BJ7" i="27"/>
  <c r="BC7" i="27"/>
  <c r="AG7" i="27"/>
  <c r="BN6" i="27"/>
  <c r="BM6" i="27"/>
  <c r="BL6" i="27"/>
  <c r="BK6" i="27"/>
  <c r="BJ6" i="27"/>
  <c r="BC6" i="27"/>
  <c r="AG6" i="27"/>
  <c r="BN5" i="27"/>
  <c r="BM5" i="27"/>
  <c r="BL5" i="27"/>
  <c r="BK5" i="27"/>
  <c r="BJ5" i="27"/>
  <c r="BC5" i="27"/>
  <c r="AG5" i="27"/>
  <c r="CW5" i="20"/>
  <c r="CW6" i="20"/>
  <c r="CW7" i="20"/>
  <c r="CW8" i="20"/>
  <c r="CW9" i="20"/>
  <c r="CW10" i="20"/>
  <c r="CW11" i="20"/>
  <c r="CW12" i="20"/>
  <c r="CW13" i="20"/>
  <c r="CW14" i="20"/>
  <c r="AE14" i="20"/>
  <c r="AE13" i="20"/>
  <c r="AE12" i="20"/>
  <c r="AE11" i="20"/>
  <c r="AE10" i="20"/>
  <c r="AE9" i="20"/>
  <c r="AE8" i="20"/>
  <c r="AE7" i="20"/>
  <c r="AE6" i="20"/>
  <c r="AE5" i="20"/>
  <c r="H4" i="25"/>
  <c r="H3" i="25"/>
  <c r="N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12" i="25"/>
  <c r="G13" i="25"/>
  <c r="G14" i="25" s="1"/>
  <c r="AD12" i="27" l="1"/>
  <c r="S12" i="27"/>
  <c r="AD8" i="27"/>
  <c r="S8" i="27"/>
  <c r="AD13" i="27"/>
  <c r="S13" i="27"/>
  <c r="AD5" i="27"/>
  <c r="S5" i="27"/>
  <c r="AD9" i="27"/>
  <c r="S9" i="27"/>
  <c r="AO14" i="27"/>
  <c r="S14" i="27"/>
  <c r="AO7" i="27"/>
  <c r="S7" i="27"/>
  <c r="AO6" i="27"/>
  <c r="S6" i="27"/>
  <c r="AO10" i="27"/>
  <c r="S10" i="27"/>
  <c r="EW33" i="30"/>
  <c r="EW18" i="30"/>
  <c r="EW6" i="30"/>
  <c r="EW17" i="30"/>
  <c r="EW34" i="30"/>
  <c r="EW5" i="30"/>
  <c r="EX5" i="30"/>
  <c r="EX18" i="30"/>
  <c r="EX6" i="30"/>
  <c r="EX17" i="30"/>
  <c r="EX34" i="30"/>
  <c r="EX33" i="30"/>
  <c r="EV6" i="30"/>
  <c r="EV5" i="30"/>
  <c r="EV18" i="30"/>
  <c r="EV34" i="30"/>
  <c r="EV33" i="30"/>
  <c r="EV17" i="30"/>
  <c r="DE5" i="30"/>
  <c r="ER5" i="30"/>
  <c r="DG6" i="30"/>
  <c r="ER6" i="30"/>
  <c r="ER9" i="30"/>
  <c r="ER8" i="30"/>
  <c r="DG9" i="30"/>
  <c r="DF10" i="30"/>
  <c r="DF11" i="30"/>
  <c r="BE11" i="30" s="1"/>
  <c r="DG13" i="30"/>
  <c r="DG10" i="30"/>
  <c r="DE13" i="30"/>
  <c r="DF6" i="30"/>
  <c r="DE9" i="30"/>
  <c r="DG7" i="30"/>
  <c r="DF12" i="30"/>
  <c r="DF8" i="30"/>
  <c r="DG12" i="30"/>
  <c r="DG8" i="30"/>
  <c r="DE14" i="30"/>
  <c r="DE8" i="30"/>
  <c r="DE7" i="30"/>
  <c r="DF5" i="30"/>
  <c r="DF7" i="30"/>
  <c r="DG5" i="30"/>
  <c r="DF9" i="30"/>
  <c r="DE10" i="30"/>
  <c r="I5" i="30"/>
  <c r="DG14" i="30"/>
  <c r="AL6" i="27"/>
  <c r="W6" i="27" s="1"/>
  <c r="AL14" i="27"/>
  <c r="W14" i="27" s="1"/>
  <c r="AL11" i="27"/>
  <c r="W11" i="27" s="1"/>
  <c r="AL12" i="27"/>
  <c r="W12" i="27" s="1"/>
  <c r="AL13" i="27"/>
  <c r="W13" i="27" s="1"/>
  <c r="AL9" i="27"/>
  <c r="W9" i="27" s="1"/>
  <c r="AD6" i="27"/>
  <c r="AO12" i="27"/>
  <c r="AO8" i="27"/>
  <c r="AY6" i="27"/>
  <c r="AD10" i="27"/>
  <c r="AY10" i="27"/>
  <c r="AL8" i="27"/>
  <c r="W8" i="27" s="1"/>
  <c r="AL10" i="27"/>
  <c r="W10" i="27" s="1"/>
  <c r="AL7" i="27"/>
  <c r="W7" i="27" s="1"/>
  <c r="AL5" i="27"/>
  <c r="W5" i="27" s="1"/>
  <c r="AU9" i="27"/>
  <c r="AT9" i="27"/>
  <c r="AS9" i="27"/>
  <c r="AR9" i="27"/>
  <c r="BE9" i="27"/>
  <c r="BD9" i="27"/>
  <c r="AT13" i="27"/>
  <c r="AU13" i="27"/>
  <c r="AS13" i="27"/>
  <c r="AR13" i="27"/>
  <c r="BD5" i="27"/>
  <c r="BE5" i="27"/>
  <c r="BD11" i="27"/>
  <c r="BE11" i="27"/>
  <c r="BE7" i="27"/>
  <c r="BD7" i="27"/>
  <c r="BE6" i="27"/>
  <c r="BD6" i="27"/>
  <c r="BD8" i="27"/>
  <c r="BE8" i="27"/>
  <c r="AU11" i="27"/>
  <c r="AS11" i="27"/>
  <c r="AT11" i="27"/>
  <c r="AR11" i="27"/>
  <c r="AR6" i="27"/>
  <c r="AU6" i="27"/>
  <c r="AT6" i="27"/>
  <c r="AS6" i="27"/>
  <c r="BD10" i="27"/>
  <c r="BE10" i="27"/>
  <c r="BE12" i="27"/>
  <c r="BD12" i="27"/>
  <c r="BE13" i="27"/>
  <c r="BD13" i="27"/>
  <c r="AU14" i="27"/>
  <c r="AT14" i="27"/>
  <c r="AS14" i="27"/>
  <c r="AR14" i="27"/>
  <c r="BE14" i="27"/>
  <c r="BD14" i="27"/>
  <c r="AU10" i="27"/>
  <c r="AT10" i="27"/>
  <c r="AR10" i="27"/>
  <c r="AS10" i="27"/>
  <c r="AU5" i="27"/>
  <c r="AT5" i="27"/>
  <c r="AR5" i="27"/>
  <c r="AS5" i="27"/>
  <c r="AU7" i="27"/>
  <c r="AT7" i="27"/>
  <c r="AS7" i="27"/>
  <c r="AR7" i="27"/>
  <c r="AY7" i="27"/>
  <c r="AO5" i="27"/>
  <c r="AO9" i="27"/>
  <c r="AO13" i="27"/>
  <c r="AD7" i="27"/>
  <c r="AY14" i="27"/>
  <c r="AD14" i="27"/>
  <c r="AS8" i="27"/>
  <c r="AY9" i="27"/>
  <c r="AS12" i="27"/>
  <c r="AY13" i="27"/>
  <c r="AT8" i="27"/>
  <c r="AT12" i="27"/>
  <c r="AR8" i="27"/>
  <c r="AR12" i="27"/>
  <c r="AY12" i="27"/>
  <c r="AY5" i="27"/>
  <c r="AY8" i="27"/>
  <c r="G15" i="25"/>
  <c r="O5" i="27" l="1"/>
  <c r="GL5" i="30"/>
  <c r="GL17" i="30"/>
  <c r="GL33" i="30"/>
  <c r="GL23" i="30"/>
  <c r="GL9" i="30"/>
  <c r="BE12" i="30"/>
  <c r="BE6" i="30"/>
  <c r="BE10" i="30"/>
  <c r="BE9" i="30"/>
  <c r="BE5" i="30"/>
  <c r="BE13" i="30"/>
  <c r="BE7" i="30"/>
  <c r="BE14" i="30"/>
  <c r="BE8" i="30"/>
  <c r="BC31" i="30"/>
  <c r="BC33" i="30"/>
  <c r="BF10" i="27"/>
  <c r="Y10" i="27" s="1"/>
  <c r="P10" i="27" s="1"/>
  <c r="BF9" i="27"/>
  <c r="Y9" i="27" s="1"/>
  <c r="BF13" i="27"/>
  <c r="Y13" i="27" s="1"/>
  <c r="P13" i="27" s="1"/>
  <c r="BF6" i="27"/>
  <c r="Y6" i="27" s="1"/>
  <c r="P6" i="27" s="1"/>
  <c r="BF7" i="27"/>
  <c r="Y7" i="27" s="1"/>
  <c r="P7" i="27" s="1"/>
  <c r="BF5" i="27"/>
  <c r="Y5" i="27" s="1"/>
  <c r="P5" i="27" s="1"/>
  <c r="BF11" i="27"/>
  <c r="Y11" i="27" s="1"/>
  <c r="P11" i="27" s="1"/>
  <c r="AV12" i="27"/>
  <c r="X12" i="27" s="1"/>
  <c r="AV7" i="27"/>
  <c r="X7" i="27" s="1"/>
  <c r="AV14" i="27"/>
  <c r="X14" i="27" s="1"/>
  <c r="AV11" i="27"/>
  <c r="X11" i="27" s="1"/>
  <c r="AV5" i="27"/>
  <c r="X5" i="27" s="1"/>
  <c r="AV13" i="27"/>
  <c r="X13" i="27" s="1"/>
  <c r="AA13" i="27" s="1"/>
  <c r="AV8" i="27"/>
  <c r="X8" i="27" s="1"/>
  <c r="BF12" i="27"/>
  <c r="Y12" i="27" s="1"/>
  <c r="P12" i="27" s="1"/>
  <c r="BF8" i="27"/>
  <c r="Y8" i="27" s="1"/>
  <c r="AV10" i="27"/>
  <c r="X10" i="27" s="1"/>
  <c r="AV9" i="27"/>
  <c r="X9" i="27" s="1"/>
  <c r="BF14" i="27"/>
  <c r="Y14" i="27" s="1"/>
  <c r="AV6" i="27"/>
  <c r="X6" i="27" s="1"/>
  <c r="G16" i="25"/>
  <c r="AA10" i="27" l="1"/>
  <c r="AA14" i="27"/>
  <c r="AA11" i="27"/>
  <c r="AA6" i="27"/>
  <c r="AA9" i="27"/>
  <c r="AA12" i="27"/>
  <c r="AA8" i="27"/>
  <c r="AA7" i="27"/>
  <c r="P14" i="27"/>
  <c r="P9" i="27"/>
  <c r="P8" i="27"/>
  <c r="BC32" i="30"/>
  <c r="BC34" i="30"/>
  <c r="G17" i="25"/>
  <c r="G18" i="25" l="1"/>
  <c r="G19" i="25" l="1"/>
  <c r="G20" i="25" l="1"/>
  <c r="G21" i="25" l="1"/>
  <c r="G22" i="25" l="1"/>
  <c r="G23" i="25" l="1"/>
  <c r="G24" i="25" l="1"/>
  <c r="G25" i="25" l="1"/>
  <c r="G26" i="25" l="1"/>
  <c r="G27" i="25" l="1"/>
  <c r="G28" i="25" l="1"/>
  <c r="G29" i="25" l="1"/>
  <c r="G30" i="25" l="1"/>
  <c r="G31" i="25" l="1"/>
  <c r="G32" i="25" l="1"/>
  <c r="G33" i="25" l="1"/>
  <c r="G34" i="25" l="1"/>
  <c r="G35" i="25" l="1"/>
  <c r="G36" i="25" l="1"/>
  <c r="G37" i="25" l="1"/>
  <c r="G38" i="25" l="1"/>
  <c r="G39" i="25" l="1"/>
  <c r="G40" i="25" l="1"/>
  <c r="G41" i="25" l="1"/>
  <c r="G42" i="25" l="1"/>
  <c r="G43" i="25" l="1"/>
  <c r="N13" i="25" l="1"/>
  <c r="N14" i="25" s="1"/>
  <c r="N15" i="25" s="1"/>
  <c r="N16" i="25" s="1"/>
  <c r="N17" i="25" s="1"/>
  <c r="N18" i="25" s="1"/>
  <c r="N19" i="25" s="1"/>
  <c r="N20" i="25" s="1"/>
  <c r="N21" i="25" s="1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N40" i="25" s="1"/>
  <c r="N41" i="25" s="1"/>
  <c r="N42" i="25" s="1"/>
  <c r="N43" i="25" s="1"/>
  <c r="O12" i="25" l="1"/>
  <c r="F12" i="25" s="1"/>
  <c r="S12" i="25" l="1"/>
  <c r="Q12" i="25"/>
  <c r="R12" i="25"/>
  <c r="T12" i="25"/>
  <c r="U12" i="25"/>
  <c r="E12" i="25"/>
  <c r="I12" i="25" l="1"/>
  <c r="J12" i="25" s="1"/>
  <c r="L12" i="25" s="1"/>
  <c r="D12" i="25"/>
  <c r="BX17" i="20" l="1"/>
  <c r="BR17" i="20"/>
  <c r="BQ17" i="20"/>
  <c r="BE17" i="20"/>
  <c r="BD17" i="20"/>
  <c r="BC17" i="20"/>
  <c r="CL14" i="20"/>
  <c r="O13" i="25" l="1"/>
  <c r="F13" i="25" s="1"/>
  <c r="BL6" i="20"/>
  <c r="U13" i="25" l="1"/>
  <c r="S13" i="25"/>
  <c r="R13" i="25"/>
  <c r="Q13" i="25"/>
  <c r="T13" i="25"/>
  <c r="O14" i="25"/>
  <c r="F14" i="25" s="1"/>
  <c r="BM6" i="20"/>
  <c r="BF6" i="20"/>
  <c r="I14" i="20"/>
  <c r="I13" i="20"/>
  <c r="I12" i="20"/>
  <c r="I11" i="20"/>
  <c r="I10" i="20"/>
  <c r="I9" i="20"/>
  <c r="I8" i="20"/>
  <c r="I7" i="20"/>
  <c r="I6" i="20"/>
  <c r="I5" i="20"/>
  <c r="AJ14" i="20"/>
  <c r="U14" i="27" s="1"/>
  <c r="AI14" i="20"/>
  <c r="T14" i="27" s="1"/>
  <c r="AJ13" i="20"/>
  <c r="U13" i="27" s="1"/>
  <c r="AI13" i="20"/>
  <c r="T13" i="27" s="1"/>
  <c r="CL13" i="20"/>
  <c r="CG13" i="20"/>
  <c r="CB14" i="20"/>
  <c r="CB13" i="20"/>
  <c r="B13" i="20"/>
  <c r="AH13" i="20" s="1"/>
  <c r="C13" i="20"/>
  <c r="D13" i="20"/>
  <c r="E13" i="20"/>
  <c r="B14" i="20"/>
  <c r="AH14" i="20" s="1"/>
  <c r="C14" i="20"/>
  <c r="D14" i="20"/>
  <c r="E14" i="20"/>
  <c r="AN13" i="20" l="1"/>
  <c r="AM13" i="20"/>
  <c r="AN14" i="20"/>
  <c r="AM14" i="20"/>
  <c r="CD13" i="20"/>
  <c r="CE13" i="20"/>
  <c r="CJ13" i="20"/>
  <c r="CI13" i="20"/>
  <c r="CD14" i="20"/>
  <c r="CE14" i="20"/>
  <c r="Q13" i="20"/>
  <c r="S13" i="20" s="1"/>
  <c r="Q14" i="20"/>
  <c r="S14" i="20" s="1"/>
  <c r="O15" i="25"/>
  <c r="F15" i="25" s="1"/>
  <c r="R14" i="25"/>
  <c r="U14" i="25"/>
  <c r="Q14" i="25"/>
  <c r="T14" i="25"/>
  <c r="S14" i="25"/>
  <c r="E13" i="25"/>
  <c r="CN14" i="20"/>
  <c r="CM14" i="20"/>
  <c r="CO14" i="20"/>
  <c r="CH14" i="20"/>
  <c r="CC14" i="20"/>
  <c r="CZ14" i="20"/>
  <c r="CY14" i="20"/>
  <c r="CX14" i="20"/>
  <c r="CZ13" i="20"/>
  <c r="CY13" i="20"/>
  <c r="CX13" i="20"/>
  <c r="CN13" i="20"/>
  <c r="CO13" i="20"/>
  <c r="CM13" i="20"/>
  <c r="CH13" i="20"/>
  <c r="CC13" i="20"/>
  <c r="V13" i="20"/>
  <c r="AT13" i="20"/>
  <c r="AT14" i="20"/>
  <c r="V14" i="20"/>
  <c r="AP13" i="20"/>
  <c r="AP14" i="20"/>
  <c r="AY14" i="20"/>
  <c r="AL14" i="20" s="1"/>
  <c r="AY13" i="20"/>
  <c r="AL13" i="20" s="1"/>
  <c r="AK14" i="20"/>
  <c r="V14" i="27" s="1"/>
  <c r="AK13" i="20"/>
  <c r="V13" i="27" s="1"/>
  <c r="BL14" i="34" l="1"/>
  <c r="AR14" i="34"/>
  <c r="BL13" i="34"/>
  <c r="AR13" i="34"/>
  <c r="AS14" i="34"/>
  <c r="AC14" i="34"/>
  <c r="AM14" i="34"/>
  <c r="CA14" i="34"/>
  <c r="BG14" i="34"/>
  <c r="AH14" i="34"/>
  <c r="AX14" i="34"/>
  <c r="AS13" i="34"/>
  <c r="CA13" i="34"/>
  <c r="AH13" i="34"/>
  <c r="AM13" i="34"/>
  <c r="AX13" i="34"/>
  <c r="BG13" i="34"/>
  <c r="AC13" i="34"/>
  <c r="AI14" i="34"/>
  <c r="AN14" i="34"/>
  <c r="AN13" i="34"/>
  <c r="AI13" i="34"/>
  <c r="O16" i="25"/>
  <c r="F16" i="25" s="1"/>
  <c r="Q15" i="25"/>
  <c r="S15" i="25"/>
  <c r="T15" i="25"/>
  <c r="R15" i="25"/>
  <c r="U15" i="25"/>
  <c r="E14" i="25"/>
  <c r="I13" i="25"/>
  <c r="J13" i="25" s="1"/>
  <c r="L13" i="25" s="1"/>
  <c r="D13" i="25"/>
  <c r="J14" i="20"/>
  <c r="J14" i="27" s="1"/>
  <c r="J13" i="20"/>
  <c r="J13" i="27" s="1"/>
  <c r="G13" i="17"/>
  <c r="F13" i="17"/>
  <c r="E13" i="17"/>
  <c r="G34" i="17"/>
  <c r="F34" i="17"/>
  <c r="E34" i="17"/>
  <c r="G42" i="17"/>
  <c r="F42" i="17"/>
  <c r="E42" i="17"/>
  <c r="G9" i="17"/>
  <c r="F9" i="17"/>
  <c r="E9" i="17"/>
  <c r="G38" i="17"/>
  <c r="F38" i="17"/>
  <c r="E38" i="17"/>
  <c r="G30" i="17"/>
  <c r="F30" i="17"/>
  <c r="E30" i="17"/>
  <c r="G5" i="17"/>
  <c r="F5" i="17"/>
  <c r="E5" i="17"/>
  <c r="G17" i="17"/>
  <c r="F17" i="17"/>
  <c r="E17" i="17"/>
  <c r="G26" i="17"/>
  <c r="F26" i="17"/>
  <c r="E26" i="17"/>
  <c r="G22" i="17"/>
  <c r="F22" i="17"/>
  <c r="E22" i="17"/>
  <c r="D13" i="17"/>
  <c r="D34" i="17"/>
  <c r="O17" i="25" l="1"/>
  <c r="F17" i="25" s="1"/>
  <c r="U16" i="25"/>
  <c r="T16" i="25"/>
  <c r="S16" i="25"/>
  <c r="R16" i="25"/>
  <c r="Q16" i="25"/>
  <c r="E15" i="25"/>
  <c r="D14" i="25"/>
  <c r="I14" i="25"/>
  <c r="J14" i="25" s="1"/>
  <c r="L14" i="25" s="1"/>
  <c r="AI12" i="20"/>
  <c r="T12" i="27" s="1"/>
  <c r="AI11" i="20"/>
  <c r="T11" i="27" s="1"/>
  <c r="AI10" i="20"/>
  <c r="T10" i="27" s="1"/>
  <c r="AI9" i="20"/>
  <c r="T9" i="27" s="1"/>
  <c r="AI8" i="20"/>
  <c r="T8" i="27" s="1"/>
  <c r="AI7" i="20"/>
  <c r="T7" i="27" s="1"/>
  <c r="AI6" i="20"/>
  <c r="T6" i="27" s="1"/>
  <c r="T5" i="27"/>
  <c r="O12" i="27" l="1"/>
  <c r="O13" i="27"/>
  <c r="O9" i="27"/>
  <c r="O10" i="27"/>
  <c r="O14" i="27"/>
  <c r="O7" i="27"/>
  <c r="O11" i="27"/>
  <c r="O8" i="27"/>
  <c r="O6" i="27"/>
  <c r="O18" i="25"/>
  <c r="F18" i="25" s="1"/>
  <c r="U17" i="25"/>
  <c r="T17" i="25"/>
  <c r="S17" i="25"/>
  <c r="R17" i="25"/>
  <c r="Q17" i="25"/>
  <c r="E16" i="25"/>
  <c r="D15" i="25"/>
  <c r="I15" i="25"/>
  <c r="J15" i="25" s="1"/>
  <c r="L15" i="25" s="1"/>
  <c r="N13" i="27" l="1"/>
  <c r="N14" i="27"/>
  <c r="O19" i="25"/>
  <c r="F19" i="25" s="1"/>
  <c r="R18" i="25"/>
  <c r="Q18" i="25"/>
  <c r="U18" i="25"/>
  <c r="T18" i="25"/>
  <c r="S18" i="25"/>
  <c r="D16" i="25"/>
  <c r="I16" i="25"/>
  <c r="J16" i="25" s="1"/>
  <c r="L16" i="25" s="1"/>
  <c r="E17" i="25"/>
  <c r="AJ10" i="20"/>
  <c r="U10" i="27" s="1"/>
  <c r="AJ9" i="20"/>
  <c r="U9" i="27" s="1"/>
  <c r="AJ8" i="20"/>
  <c r="U8" i="27" s="1"/>
  <c r="AJ7" i="20"/>
  <c r="U7" i="27" s="1"/>
  <c r="AJ6" i="20"/>
  <c r="U6" i="27" s="1"/>
  <c r="U5" i="27"/>
  <c r="N5" i="27" s="1"/>
  <c r="CL12" i="20"/>
  <c r="CL11" i="20"/>
  <c r="CL10" i="20"/>
  <c r="CL9" i="20"/>
  <c r="CL8" i="20"/>
  <c r="CL6" i="20"/>
  <c r="CG12" i="20"/>
  <c r="CG11" i="20"/>
  <c r="CG10" i="20"/>
  <c r="CG9" i="20"/>
  <c r="CG8" i="20"/>
  <c r="CG7" i="20"/>
  <c r="CG6" i="20"/>
  <c r="CG5" i="20"/>
  <c r="CB12" i="20"/>
  <c r="CB11" i="20"/>
  <c r="CB10" i="20"/>
  <c r="CB9" i="20"/>
  <c r="CB8" i="20"/>
  <c r="CB7" i="20"/>
  <c r="CB6" i="20"/>
  <c r="CB5" i="20"/>
  <c r="BS7" i="20"/>
  <c r="BS8" i="20"/>
  <c r="BM8" i="20"/>
  <c r="BL8" i="20"/>
  <c r="BF8" i="20"/>
  <c r="BS5" i="20"/>
  <c r="BM7" i="20"/>
  <c r="BL7" i="20"/>
  <c r="BF7" i="20"/>
  <c r="BS6" i="20"/>
  <c r="BM5" i="20"/>
  <c r="BL5" i="20"/>
  <c r="BF5" i="20"/>
  <c r="E12" i="20"/>
  <c r="D12" i="20"/>
  <c r="C12" i="20"/>
  <c r="B12" i="20"/>
  <c r="V12" i="20" s="1"/>
  <c r="E11" i="20"/>
  <c r="D11" i="20"/>
  <c r="C11" i="20"/>
  <c r="E10" i="20"/>
  <c r="D10" i="20"/>
  <c r="C10" i="20"/>
  <c r="B10" i="20"/>
  <c r="V10" i="20" s="1"/>
  <c r="E9" i="20"/>
  <c r="D9" i="20"/>
  <c r="C9" i="20"/>
  <c r="B9" i="20"/>
  <c r="V9" i="20" s="1"/>
  <c r="E8" i="20"/>
  <c r="D8" i="20"/>
  <c r="C8" i="20"/>
  <c r="B8" i="20"/>
  <c r="V8" i="20" s="1"/>
  <c r="E7" i="20"/>
  <c r="D7" i="20"/>
  <c r="C7" i="20"/>
  <c r="B7" i="20"/>
  <c r="V7" i="20" s="1"/>
  <c r="E6" i="20"/>
  <c r="D6" i="20"/>
  <c r="C6" i="20"/>
  <c r="B6" i="20"/>
  <c r="V6" i="20" s="1"/>
  <c r="E5" i="20"/>
  <c r="AP5" i="20" s="1"/>
  <c r="D5" i="20"/>
  <c r="C5" i="20"/>
  <c r="B5" i="20"/>
  <c r="V5" i="20" s="1"/>
  <c r="AM10" i="20" l="1"/>
  <c r="AN10" i="20"/>
  <c r="AN11" i="20"/>
  <c r="AM11" i="20"/>
  <c r="AM8" i="20"/>
  <c r="AN8" i="20"/>
  <c r="AM7" i="20"/>
  <c r="AN7" i="20"/>
  <c r="AN6" i="20"/>
  <c r="AM6" i="20"/>
  <c r="AN12" i="20"/>
  <c r="AM12" i="20"/>
  <c r="AM5" i="20"/>
  <c r="AN5" i="20"/>
  <c r="AN9" i="20"/>
  <c r="AM9" i="20"/>
  <c r="H14" i="27"/>
  <c r="H13" i="27"/>
  <c r="CJ7" i="20"/>
  <c r="CI7" i="20"/>
  <c r="CI10" i="20"/>
  <c r="CJ10" i="20"/>
  <c r="CI11" i="20"/>
  <c r="CJ11" i="20"/>
  <c r="CI8" i="20"/>
  <c r="CJ8" i="20"/>
  <c r="CI12" i="20"/>
  <c r="CJ12" i="20"/>
  <c r="CD5" i="20"/>
  <c r="CE5" i="20"/>
  <c r="CD6" i="20"/>
  <c r="CE6" i="20"/>
  <c r="CI9" i="20"/>
  <c r="CJ9" i="20"/>
  <c r="CI5" i="20"/>
  <c r="CJ5" i="20"/>
  <c r="CD8" i="20"/>
  <c r="CE8" i="20"/>
  <c r="CD12" i="20"/>
  <c r="CE12" i="20"/>
  <c r="CJ6" i="20"/>
  <c r="CI6" i="20"/>
  <c r="CE9" i="20"/>
  <c r="CD9" i="20"/>
  <c r="CD10" i="20"/>
  <c r="CE10" i="20"/>
  <c r="CD7" i="20"/>
  <c r="CE7" i="20"/>
  <c r="CD11" i="20"/>
  <c r="CE11" i="20"/>
  <c r="N7" i="27"/>
  <c r="H7" i="27" s="1"/>
  <c r="N10" i="27"/>
  <c r="H10" i="27" s="1"/>
  <c r="Q5" i="20"/>
  <c r="S5" i="20" s="1"/>
  <c r="Q10" i="20"/>
  <c r="S10" i="20" s="1"/>
  <c r="Q11" i="20"/>
  <c r="S11" i="20" s="1"/>
  <c r="Q12" i="20"/>
  <c r="S12" i="20" s="1"/>
  <c r="Q6" i="20"/>
  <c r="S6" i="20" s="1"/>
  <c r="Q7" i="20"/>
  <c r="S7" i="20" s="1"/>
  <c r="Q8" i="20"/>
  <c r="S8" i="20" s="1"/>
  <c r="Q9" i="20"/>
  <c r="S9" i="20" s="1"/>
  <c r="O20" i="25"/>
  <c r="F20" i="25" s="1"/>
  <c r="U19" i="25"/>
  <c r="T19" i="25"/>
  <c r="S19" i="25"/>
  <c r="R19" i="25"/>
  <c r="Q19" i="25"/>
  <c r="E18" i="25"/>
  <c r="D17" i="25"/>
  <c r="I17" i="25"/>
  <c r="J17" i="25" s="1"/>
  <c r="L17" i="25" s="1"/>
  <c r="AO13" i="20"/>
  <c r="AO14" i="20"/>
  <c r="CH8" i="20"/>
  <c r="CZ8" i="20"/>
  <c r="CY8" i="20"/>
  <c r="CX8" i="20"/>
  <c r="CX9" i="20"/>
  <c r="CZ9" i="20"/>
  <c r="CY9" i="20"/>
  <c r="CH12" i="20"/>
  <c r="CN7" i="20"/>
  <c r="CM7" i="20"/>
  <c r="CO7" i="20"/>
  <c r="CZ11" i="20"/>
  <c r="CY11" i="20"/>
  <c r="CX11" i="20"/>
  <c r="CZ12" i="20"/>
  <c r="CY12" i="20"/>
  <c r="CX12" i="20"/>
  <c r="CO8" i="20"/>
  <c r="CN8" i="20"/>
  <c r="CM8" i="20"/>
  <c r="CO5" i="20"/>
  <c r="CN5" i="20"/>
  <c r="CM5" i="20"/>
  <c r="CN9" i="20"/>
  <c r="CM9" i="20"/>
  <c r="CO9" i="20"/>
  <c r="CO10" i="20"/>
  <c r="CN10" i="20"/>
  <c r="CM10" i="20"/>
  <c r="CC9" i="20"/>
  <c r="CC11" i="20"/>
  <c r="CO11" i="20"/>
  <c r="CN11" i="20"/>
  <c r="CM11" i="20"/>
  <c r="CC6" i="20"/>
  <c r="CC8" i="20"/>
  <c r="CC12" i="20"/>
  <c r="CO12" i="20"/>
  <c r="CN12" i="20"/>
  <c r="CM12" i="20"/>
  <c r="CH5" i="20"/>
  <c r="CX5" i="20"/>
  <c r="CZ5" i="20"/>
  <c r="CY5" i="20"/>
  <c r="CH9" i="20"/>
  <c r="CH10" i="20"/>
  <c r="CH11" i="20"/>
  <c r="CC5" i="20"/>
  <c r="CC7" i="20"/>
  <c r="CC10" i="20"/>
  <c r="CH6" i="20"/>
  <c r="CZ6" i="20"/>
  <c r="CY6" i="20"/>
  <c r="CX6" i="20"/>
  <c r="CY10" i="20"/>
  <c r="CZ10" i="20"/>
  <c r="CX10" i="20"/>
  <c r="CO6" i="20"/>
  <c r="CN6" i="20"/>
  <c r="CM6" i="20"/>
  <c r="CH7" i="20"/>
  <c r="CZ7" i="20"/>
  <c r="CY7" i="20"/>
  <c r="CX7" i="20"/>
  <c r="AO12" i="20"/>
  <c r="AO7" i="20"/>
  <c r="AO5" i="20"/>
  <c r="AO6" i="20"/>
  <c r="AO9" i="20"/>
  <c r="AO11" i="20"/>
  <c r="AO8" i="20"/>
  <c r="AP9" i="20"/>
  <c r="AP12" i="20"/>
  <c r="AP10" i="20"/>
  <c r="AP6" i="20"/>
  <c r="AP7" i="20"/>
  <c r="AK10" i="20"/>
  <c r="V10" i="27" s="1"/>
  <c r="AK7" i="20"/>
  <c r="V7" i="27" s="1"/>
  <c r="AK8" i="20"/>
  <c r="V8" i="27" s="1"/>
  <c r="V5" i="27"/>
  <c r="AA5" i="27" s="1"/>
  <c r="H5" i="27" s="1"/>
  <c r="AK12" i="20"/>
  <c r="V12" i="27" s="1"/>
  <c r="AK9" i="20"/>
  <c r="V9" i="27" s="1"/>
  <c r="N9" i="27" s="1"/>
  <c r="AP8" i="20"/>
  <c r="AK11" i="20"/>
  <c r="V11" i="27" s="1"/>
  <c r="AK6" i="20"/>
  <c r="V6" i="27" s="1"/>
  <c r="N6" i="27" s="1"/>
  <c r="AJ11" i="20"/>
  <c r="U11" i="27" s="1"/>
  <c r="AJ12" i="20"/>
  <c r="U12" i="27" s="1"/>
  <c r="AY9" i="20"/>
  <c r="AL9" i="20" s="1"/>
  <c r="AP11" i="20"/>
  <c r="AY7" i="20"/>
  <c r="AL7" i="20" s="1"/>
  <c r="AY6" i="20"/>
  <c r="AL6" i="20" s="1"/>
  <c r="AY10" i="20"/>
  <c r="AL10" i="20" s="1"/>
  <c r="AY11" i="20"/>
  <c r="AL11" i="20" s="1"/>
  <c r="AY8" i="20"/>
  <c r="AL8" i="20" s="1"/>
  <c r="AY12" i="20"/>
  <c r="AL12" i="20" s="1"/>
  <c r="AY5" i="20"/>
  <c r="AO10" i="20"/>
  <c r="AH8" i="20"/>
  <c r="AH10" i="20"/>
  <c r="AH7" i="20"/>
  <c r="AH5" i="20"/>
  <c r="AH6" i="20"/>
  <c r="AH9" i="20"/>
  <c r="AH12" i="20"/>
  <c r="AT5" i="20"/>
  <c r="AT6" i="20"/>
  <c r="AT7" i="20"/>
  <c r="AT8" i="20"/>
  <c r="AT9" i="20"/>
  <c r="AT10" i="20"/>
  <c r="AT12" i="20"/>
  <c r="BL9" i="34" l="1"/>
  <c r="AR9" i="34"/>
  <c r="BL5" i="34"/>
  <c r="AR5" i="34"/>
  <c r="BL12" i="34"/>
  <c r="AR12" i="34"/>
  <c r="BL6" i="34"/>
  <c r="AR6" i="34"/>
  <c r="AD14" i="34"/>
  <c r="BR14" i="34"/>
  <c r="CB14" i="34"/>
  <c r="BH14" i="34"/>
  <c r="BL7" i="34"/>
  <c r="AR7" i="34"/>
  <c r="BR13" i="34"/>
  <c r="BH13" i="34"/>
  <c r="CB13" i="34"/>
  <c r="AD13" i="34"/>
  <c r="BL8" i="34"/>
  <c r="AR8" i="34"/>
  <c r="BL11" i="34"/>
  <c r="AR11" i="34"/>
  <c r="BL10" i="34"/>
  <c r="AR10" i="34"/>
  <c r="AS9" i="34"/>
  <c r="AC9" i="34"/>
  <c r="CA9" i="34"/>
  <c r="BR9" i="34"/>
  <c r="BG9" i="34"/>
  <c r="AM9" i="34"/>
  <c r="AX9" i="34"/>
  <c r="AH9" i="34"/>
  <c r="Y11" i="34"/>
  <c r="T11" i="34"/>
  <c r="BC11" i="34"/>
  <c r="BM11" i="34"/>
  <c r="BW11" i="34"/>
  <c r="O11" i="34"/>
  <c r="AQ5" i="20"/>
  <c r="H5" i="34" s="1"/>
  <c r="AS5" i="34"/>
  <c r="AX5" i="34"/>
  <c r="BR5" i="34"/>
  <c r="AM5" i="34"/>
  <c r="BG5" i="34"/>
  <c r="AH5" i="34"/>
  <c r="CA5" i="34"/>
  <c r="AC5" i="34"/>
  <c r="Y9" i="34"/>
  <c r="T9" i="34"/>
  <c r="BC9" i="34"/>
  <c r="BW9" i="34"/>
  <c r="BM9" i="34"/>
  <c r="O9" i="34"/>
  <c r="AS12" i="34"/>
  <c r="CA12" i="34"/>
  <c r="BR12" i="34"/>
  <c r="AC12" i="34"/>
  <c r="AM12" i="34"/>
  <c r="AH12" i="34"/>
  <c r="BG12" i="34"/>
  <c r="AX12" i="34"/>
  <c r="AN9" i="34"/>
  <c r="CB9" i="34"/>
  <c r="BH9" i="34"/>
  <c r="AD9" i="34"/>
  <c r="AI9" i="34"/>
  <c r="Y6" i="34"/>
  <c r="T6" i="34"/>
  <c r="BC6" i="34"/>
  <c r="BW6" i="34"/>
  <c r="BM6" i="34"/>
  <c r="O6" i="34"/>
  <c r="CB12" i="34"/>
  <c r="AN12" i="34"/>
  <c r="BH12" i="34"/>
  <c r="AD12" i="34"/>
  <c r="AI12" i="34"/>
  <c r="Y8" i="34"/>
  <c r="T8" i="34"/>
  <c r="BC8" i="34"/>
  <c r="BM8" i="34"/>
  <c r="BW8" i="34"/>
  <c r="O8" i="34"/>
  <c r="Y5" i="34"/>
  <c r="BC5" i="34"/>
  <c r="T5" i="34"/>
  <c r="BW5" i="34"/>
  <c r="BM5" i="34"/>
  <c r="O5" i="34"/>
  <c r="AS6" i="34"/>
  <c r="AX6" i="34"/>
  <c r="CA6" i="34"/>
  <c r="AM6" i="34"/>
  <c r="AH6" i="34"/>
  <c r="BR6" i="34"/>
  <c r="AC6" i="34"/>
  <c r="BG6" i="34"/>
  <c r="Y7" i="34"/>
  <c r="T7" i="34"/>
  <c r="BC7" i="34"/>
  <c r="BW7" i="34"/>
  <c r="BM7" i="34"/>
  <c r="O7" i="34"/>
  <c r="AI6" i="34"/>
  <c r="AN6" i="34"/>
  <c r="CB6" i="34"/>
  <c r="BH6" i="34"/>
  <c r="AD6" i="34"/>
  <c r="Y12" i="34"/>
  <c r="T12" i="34"/>
  <c r="BC12" i="34"/>
  <c r="BW12" i="34"/>
  <c r="BM12" i="34"/>
  <c r="O12" i="34"/>
  <c r="AI7" i="34"/>
  <c r="AN7" i="34"/>
  <c r="CB7" i="34"/>
  <c r="AD7" i="34"/>
  <c r="BH7" i="34"/>
  <c r="Y14" i="34"/>
  <c r="T14" i="34"/>
  <c r="BC14" i="34"/>
  <c r="BW14" i="34"/>
  <c r="BM14" i="34"/>
  <c r="O14" i="34"/>
  <c r="AS7" i="34"/>
  <c r="AX7" i="34"/>
  <c r="CA7" i="34"/>
  <c r="BR7" i="34"/>
  <c r="AM7" i="34"/>
  <c r="AC7" i="34"/>
  <c r="AH7" i="34"/>
  <c r="BG7" i="34"/>
  <c r="Y10" i="34"/>
  <c r="T10" i="34"/>
  <c r="BC10" i="34"/>
  <c r="BM10" i="34"/>
  <c r="BW10" i="34"/>
  <c r="O10" i="34"/>
  <c r="Y13" i="34"/>
  <c r="BC13" i="34"/>
  <c r="T13" i="34"/>
  <c r="BW13" i="34"/>
  <c r="BM13" i="34"/>
  <c r="O13" i="34"/>
  <c r="CB8" i="34"/>
  <c r="AI8" i="34"/>
  <c r="BH8" i="34"/>
  <c r="AN8" i="34"/>
  <c r="AD8" i="34"/>
  <c r="AS8" i="34"/>
  <c r="AC8" i="34"/>
  <c r="CA8" i="34"/>
  <c r="BR8" i="34"/>
  <c r="AH8" i="34"/>
  <c r="AM8" i="34"/>
  <c r="AX8" i="34"/>
  <c r="BG8" i="34"/>
  <c r="AS11" i="34"/>
  <c r="CA11" i="34"/>
  <c r="AX11" i="34"/>
  <c r="AH11" i="34"/>
  <c r="BG11" i="34"/>
  <c r="AC11" i="34"/>
  <c r="BR11" i="34"/>
  <c r="AM11" i="34"/>
  <c r="CB11" i="34"/>
  <c r="AI11" i="34"/>
  <c r="AD11" i="34"/>
  <c r="BH11" i="34"/>
  <c r="AN11" i="34"/>
  <c r="AN5" i="34"/>
  <c r="AI5" i="34"/>
  <c r="CB5" i="34"/>
  <c r="AD5" i="34"/>
  <c r="BH5" i="34"/>
  <c r="AN10" i="34"/>
  <c r="AD10" i="34"/>
  <c r="AI10" i="34"/>
  <c r="CB10" i="34"/>
  <c r="BH10" i="34"/>
  <c r="AS10" i="34"/>
  <c r="BR10" i="34"/>
  <c r="CA10" i="34"/>
  <c r="AC10" i="34"/>
  <c r="BG10" i="34"/>
  <c r="AX10" i="34"/>
  <c r="AM10" i="34"/>
  <c r="AH10" i="34"/>
  <c r="H6" i="27"/>
  <c r="BO6" i="27" s="1"/>
  <c r="H9" i="27"/>
  <c r="BO9" i="27" s="1"/>
  <c r="K13" i="27"/>
  <c r="K14" i="27"/>
  <c r="J7" i="20"/>
  <c r="K10" i="27"/>
  <c r="K7" i="27"/>
  <c r="K5" i="27"/>
  <c r="AQ14" i="20"/>
  <c r="BO13" i="27"/>
  <c r="BO14" i="27"/>
  <c r="BO5" i="27"/>
  <c r="N8" i="27"/>
  <c r="H8" i="27" s="1"/>
  <c r="N12" i="27"/>
  <c r="N11" i="27"/>
  <c r="BO10" i="27"/>
  <c r="BO7" i="27"/>
  <c r="J9" i="20"/>
  <c r="J9" i="27" s="1"/>
  <c r="J10" i="20"/>
  <c r="J10" i="27" s="1"/>
  <c r="O21" i="25"/>
  <c r="F21" i="25" s="1"/>
  <c r="U20" i="25"/>
  <c r="T20" i="25"/>
  <c r="S20" i="25"/>
  <c r="R20" i="25"/>
  <c r="Q20" i="25"/>
  <c r="D18" i="25"/>
  <c r="I18" i="25"/>
  <c r="J18" i="25" s="1"/>
  <c r="L18" i="25" s="1"/>
  <c r="E19" i="25"/>
  <c r="J11" i="20"/>
  <c r="J11" i="27" s="1"/>
  <c r="J8" i="20"/>
  <c r="J8" i="27" s="1"/>
  <c r="J7" i="27"/>
  <c r="AQ13" i="20"/>
  <c r="J5" i="20"/>
  <c r="J5" i="27" s="1"/>
  <c r="AQ7" i="20"/>
  <c r="J6" i="20"/>
  <c r="J6" i="27" s="1"/>
  <c r="AQ10" i="20"/>
  <c r="AQ8" i="20"/>
  <c r="J12" i="20"/>
  <c r="J12" i="27" s="1"/>
  <c r="AQ12" i="20"/>
  <c r="AQ11" i="20"/>
  <c r="AQ9" i="20"/>
  <c r="AQ6" i="20"/>
  <c r="AR18" i="34" l="1"/>
  <c r="BL18" i="34"/>
  <c r="BW18" i="34"/>
  <c r="BM18" i="34"/>
  <c r="AS18" i="34"/>
  <c r="BC18" i="34"/>
  <c r="Y18" i="34"/>
  <c r="AO5" i="34"/>
  <c r="AP5" i="34" s="1"/>
  <c r="AJ5" i="34"/>
  <c r="AK5" i="34" s="1"/>
  <c r="U5" i="34"/>
  <c r="V5" i="34" s="1"/>
  <c r="P5" i="34"/>
  <c r="Q5" i="34" s="1"/>
  <c r="AY5" i="34"/>
  <c r="AZ5" i="34" s="1"/>
  <c r="AT5" i="34"/>
  <c r="AU5" i="34" s="1"/>
  <c r="BX5" i="34"/>
  <c r="BY5" i="34" s="1"/>
  <c r="BI5" i="34"/>
  <c r="BJ5" i="34" s="1"/>
  <c r="BN5" i="34"/>
  <c r="BO5" i="34" s="1"/>
  <c r="AE5" i="34"/>
  <c r="AF5" i="34" s="1"/>
  <c r="BS5" i="34"/>
  <c r="BT5" i="34" s="1"/>
  <c r="Z5" i="34"/>
  <c r="AA5" i="34" s="1"/>
  <c r="BD5" i="34"/>
  <c r="BE5" i="34" s="1"/>
  <c r="K5" i="34"/>
  <c r="T18" i="34"/>
  <c r="BH18" i="34"/>
  <c r="AD18" i="34"/>
  <c r="AC18" i="34"/>
  <c r="CB18" i="34"/>
  <c r="CA18" i="34"/>
  <c r="AI18" i="34"/>
  <c r="AH18" i="34"/>
  <c r="AN18" i="34"/>
  <c r="BG18" i="34"/>
  <c r="AM18" i="34"/>
  <c r="BR18" i="34"/>
  <c r="O18" i="34"/>
  <c r="AX18" i="34"/>
  <c r="K9" i="27"/>
  <c r="H12" i="27"/>
  <c r="H11" i="27"/>
  <c r="BO11" i="27" s="1"/>
  <c r="K6" i="27"/>
  <c r="H7" i="20"/>
  <c r="K7" i="20" s="1"/>
  <c r="H7" i="34"/>
  <c r="H13" i="20"/>
  <c r="K13" i="20" s="1"/>
  <c r="H13" i="34"/>
  <c r="H6" i="20"/>
  <c r="K6" i="20" s="1"/>
  <c r="H6" i="34"/>
  <c r="H14" i="20"/>
  <c r="K14" i="20" s="1"/>
  <c r="H14" i="34"/>
  <c r="H5" i="20"/>
  <c r="K5" i="20" s="1"/>
  <c r="H9" i="20"/>
  <c r="K9" i="20" s="1"/>
  <c r="H9" i="34"/>
  <c r="H11" i="20"/>
  <c r="K11" i="20" s="1"/>
  <c r="H11" i="34"/>
  <c r="H12" i="20"/>
  <c r="K12" i="20" s="1"/>
  <c r="H12" i="34"/>
  <c r="H8" i="20"/>
  <c r="K8" i="20" s="1"/>
  <c r="H8" i="34"/>
  <c r="H10" i="20"/>
  <c r="K10" i="20" s="1"/>
  <c r="H10" i="34"/>
  <c r="BO8" i="27"/>
  <c r="K8" i="27"/>
  <c r="BO12" i="27"/>
  <c r="O22" i="25"/>
  <c r="F22" i="25" s="1"/>
  <c r="S21" i="25"/>
  <c r="R21" i="25"/>
  <c r="Q21" i="25"/>
  <c r="U21" i="25"/>
  <c r="T21" i="25"/>
  <c r="E20" i="25"/>
  <c r="D19" i="25"/>
  <c r="I19" i="25"/>
  <c r="J19" i="25" s="1"/>
  <c r="L19" i="25" s="1"/>
  <c r="U11" i="34" l="1"/>
  <c r="AY11" i="34"/>
  <c r="P11" i="34"/>
  <c r="AO11" i="34"/>
  <c r="AP11" i="34" s="1"/>
  <c r="BI11" i="34"/>
  <c r="BJ11" i="34" s="1"/>
  <c r="BD11" i="34"/>
  <c r="BE11" i="34" s="1"/>
  <c r="AT11" i="34"/>
  <c r="AU11" i="34" s="1"/>
  <c r="BX11" i="34"/>
  <c r="BY11" i="34" s="1"/>
  <c r="Z11" i="34"/>
  <c r="AA11" i="34" s="1"/>
  <c r="AE11" i="34"/>
  <c r="AF11" i="34" s="1"/>
  <c r="AJ11" i="34"/>
  <c r="AK11" i="34" s="1"/>
  <c r="BS11" i="34"/>
  <c r="BT11" i="34" s="1"/>
  <c r="BN11" i="34"/>
  <c r="BO11" i="34" s="1"/>
  <c r="K11" i="34"/>
  <c r="L11" i="34" s="1"/>
  <c r="U9" i="34"/>
  <c r="V9" i="34" s="1"/>
  <c r="P9" i="34"/>
  <c r="Q9" i="34" s="1"/>
  <c r="AY9" i="34"/>
  <c r="AO9" i="34"/>
  <c r="BN9" i="34"/>
  <c r="BO9" i="34" s="1"/>
  <c r="AT9" i="34"/>
  <c r="AU9" i="34" s="1"/>
  <c r="BX9" i="34"/>
  <c r="BY9" i="34" s="1"/>
  <c r="AE9" i="34"/>
  <c r="AF9" i="34" s="1"/>
  <c r="BS9" i="34"/>
  <c r="BT9" i="34" s="1"/>
  <c r="BD9" i="34"/>
  <c r="BE9" i="34" s="1"/>
  <c r="AJ9" i="34"/>
  <c r="AK9" i="34" s="1"/>
  <c r="BI9" i="34"/>
  <c r="BJ9" i="34" s="1"/>
  <c r="Z9" i="34"/>
  <c r="AA9" i="34" s="1"/>
  <c r="K9" i="34"/>
  <c r="L9" i="34" s="1"/>
  <c r="U7" i="34"/>
  <c r="V7" i="34" s="1"/>
  <c r="P7" i="34"/>
  <c r="Q7" i="34" s="1"/>
  <c r="AY7" i="34"/>
  <c r="AZ7" i="34" s="1"/>
  <c r="AO7" i="34"/>
  <c r="AP7" i="34" s="1"/>
  <c r="BN7" i="34"/>
  <c r="AE7" i="34"/>
  <c r="BI7" i="34"/>
  <c r="BD7" i="34"/>
  <c r="Z7" i="34"/>
  <c r="AA7" i="34" s="1"/>
  <c r="AJ7" i="34"/>
  <c r="AK7" i="34" s="1"/>
  <c r="AT7" i="34"/>
  <c r="AU7" i="34" s="1"/>
  <c r="BS7" i="34"/>
  <c r="BT7" i="34" s="1"/>
  <c r="BX7" i="34"/>
  <c r="BY7" i="34" s="1"/>
  <c r="K7" i="34"/>
  <c r="L7" i="34" s="1"/>
  <c r="U13" i="34"/>
  <c r="V13" i="34" s="1"/>
  <c r="P13" i="34"/>
  <c r="Q13" i="34" s="1"/>
  <c r="AY13" i="34"/>
  <c r="AZ13" i="34" s="1"/>
  <c r="AO13" i="34"/>
  <c r="AP13" i="34" s="1"/>
  <c r="AE13" i="34"/>
  <c r="AF13" i="34" s="1"/>
  <c r="BS13" i="34"/>
  <c r="BT13" i="34" s="1"/>
  <c r="AT13" i="34"/>
  <c r="BN13" i="34"/>
  <c r="BI13" i="34"/>
  <c r="BJ13" i="34" s="1"/>
  <c r="BX13" i="34"/>
  <c r="BY13" i="34" s="1"/>
  <c r="BD13" i="34"/>
  <c r="AJ13" i="34"/>
  <c r="AK13" i="34" s="1"/>
  <c r="Z13" i="34"/>
  <c r="AA13" i="34" s="1"/>
  <c r="K13" i="34"/>
  <c r="L13" i="34" s="1"/>
  <c r="U10" i="34"/>
  <c r="V10" i="34" s="1"/>
  <c r="P10" i="34"/>
  <c r="Q10" i="34" s="1"/>
  <c r="AY10" i="34"/>
  <c r="AZ10" i="34" s="1"/>
  <c r="AO10" i="34"/>
  <c r="AP10" i="34" s="1"/>
  <c r="BS10" i="34"/>
  <c r="BT10" i="34" s="1"/>
  <c r="AJ10" i="34"/>
  <c r="AK10" i="34" s="1"/>
  <c r="Z10" i="34"/>
  <c r="AA10" i="34" s="1"/>
  <c r="AT10" i="34"/>
  <c r="AU10" i="34" s="1"/>
  <c r="BX10" i="34"/>
  <c r="BY10" i="34" s="1"/>
  <c r="AE10" i="34"/>
  <c r="AF10" i="34" s="1"/>
  <c r="BD10" i="34"/>
  <c r="BE10" i="34" s="1"/>
  <c r="BN10" i="34"/>
  <c r="BO10" i="34" s="1"/>
  <c r="BI10" i="34"/>
  <c r="BJ10" i="34" s="1"/>
  <c r="K10" i="34"/>
  <c r="L10" i="34" s="1"/>
  <c r="U12" i="34"/>
  <c r="V12" i="34" s="1"/>
  <c r="AY12" i="34"/>
  <c r="AZ12" i="34" s="1"/>
  <c r="P12" i="34"/>
  <c r="Q12" i="34" s="1"/>
  <c r="AO12" i="34"/>
  <c r="AP12" i="34" s="1"/>
  <c r="AE12" i="34"/>
  <c r="AF12" i="34" s="1"/>
  <c r="Z12" i="34"/>
  <c r="AA12" i="34" s="1"/>
  <c r="AJ12" i="34"/>
  <c r="AK12" i="34" s="1"/>
  <c r="BN12" i="34"/>
  <c r="BO12" i="34" s="1"/>
  <c r="BX12" i="34"/>
  <c r="BY12" i="34" s="1"/>
  <c r="AT12" i="34"/>
  <c r="AU12" i="34" s="1"/>
  <c r="BS12" i="34"/>
  <c r="BI12" i="34"/>
  <c r="BJ12" i="34" s="1"/>
  <c r="BD12" i="34"/>
  <c r="K12" i="34"/>
  <c r="U14" i="34"/>
  <c r="V14" i="34" s="1"/>
  <c r="AY14" i="34"/>
  <c r="AZ14" i="34" s="1"/>
  <c r="P14" i="34"/>
  <c r="Q14" i="34" s="1"/>
  <c r="AO14" i="34"/>
  <c r="AP14" i="34" s="1"/>
  <c r="BX14" i="34"/>
  <c r="BY14" i="34" s="1"/>
  <c r="BD14" i="34"/>
  <c r="BE14" i="34" s="1"/>
  <c r="AJ14" i="34"/>
  <c r="AK14" i="34" s="1"/>
  <c r="AE14" i="34"/>
  <c r="AF14" i="34" s="1"/>
  <c r="BN14" i="34"/>
  <c r="BO14" i="34" s="1"/>
  <c r="AT14" i="34"/>
  <c r="AU14" i="34" s="1"/>
  <c r="BS14" i="34"/>
  <c r="BT14" i="34" s="1"/>
  <c r="BI14" i="34"/>
  <c r="BJ14" i="34" s="1"/>
  <c r="Z14" i="34"/>
  <c r="AA14" i="34" s="1"/>
  <c r="K14" i="34"/>
  <c r="L14" i="34" s="1"/>
  <c r="U6" i="34"/>
  <c r="V6" i="34" s="1"/>
  <c r="AY6" i="34"/>
  <c r="AZ6" i="34" s="1"/>
  <c r="P6" i="34"/>
  <c r="Q6" i="34" s="1"/>
  <c r="AO6" i="34"/>
  <c r="AP6" i="34" s="1"/>
  <c r="BN6" i="34"/>
  <c r="BO6" i="34" s="1"/>
  <c r="AT6" i="34"/>
  <c r="AU6" i="34" s="1"/>
  <c r="BX6" i="34"/>
  <c r="BY6" i="34" s="1"/>
  <c r="AE6" i="34"/>
  <c r="AF6" i="34" s="1"/>
  <c r="AJ6" i="34"/>
  <c r="AK6" i="34" s="1"/>
  <c r="BI6" i="34"/>
  <c r="BJ6" i="34" s="1"/>
  <c r="BD6" i="34"/>
  <c r="BS6" i="34"/>
  <c r="BT6" i="34" s="1"/>
  <c r="Z6" i="34"/>
  <c r="AA6" i="34" s="1"/>
  <c r="K6" i="34"/>
  <c r="L6" i="34" s="1"/>
  <c r="U8" i="34"/>
  <c r="P8" i="34"/>
  <c r="Q8" i="34" s="1"/>
  <c r="AY8" i="34"/>
  <c r="AZ8" i="34" s="1"/>
  <c r="AO8" i="34"/>
  <c r="AP8" i="34" s="1"/>
  <c r="AT8" i="34"/>
  <c r="AU8" i="34" s="1"/>
  <c r="Z8" i="34"/>
  <c r="AA8" i="34" s="1"/>
  <c r="AE8" i="34"/>
  <c r="AF8" i="34" s="1"/>
  <c r="BX8" i="34"/>
  <c r="BY8" i="34" s="1"/>
  <c r="AJ8" i="34"/>
  <c r="AK8" i="34" s="1"/>
  <c r="BD8" i="34"/>
  <c r="BE8" i="34" s="1"/>
  <c r="BN8" i="34"/>
  <c r="BO8" i="34" s="1"/>
  <c r="BI8" i="34"/>
  <c r="BJ8" i="34" s="1"/>
  <c r="BS8" i="34"/>
  <c r="BT8" i="34" s="1"/>
  <c r="K8" i="34"/>
  <c r="L8" i="34" s="1"/>
  <c r="L5" i="34"/>
  <c r="CD5" i="34" s="1"/>
  <c r="CC5" i="34"/>
  <c r="AZ9" i="34"/>
  <c r="AP9" i="34"/>
  <c r="AF7" i="34"/>
  <c r="BO7" i="34"/>
  <c r="BE7" i="34"/>
  <c r="BJ7" i="34"/>
  <c r="AU13" i="34"/>
  <c r="BO13" i="34"/>
  <c r="BE13" i="34"/>
  <c r="L12" i="34"/>
  <c r="BT12" i="34"/>
  <c r="BE12" i="34"/>
  <c r="V8" i="34"/>
  <c r="V11" i="34"/>
  <c r="AZ11" i="34"/>
  <c r="Q11" i="34"/>
  <c r="K11" i="27"/>
  <c r="K12" i="27"/>
  <c r="O23" i="25"/>
  <c r="F23" i="25" s="1"/>
  <c r="R22" i="25"/>
  <c r="U22" i="25"/>
  <c r="T22" i="25"/>
  <c r="S22" i="25"/>
  <c r="Q22" i="25"/>
  <c r="E21" i="25"/>
  <c r="I20" i="25"/>
  <c r="J20" i="25" s="1"/>
  <c r="L20" i="25" s="1"/>
  <c r="D20" i="25"/>
  <c r="CD13" i="34" l="1"/>
  <c r="CD10" i="34"/>
  <c r="CD12" i="34"/>
  <c r="CD7" i="34"/>
  <c r="BD18" i="34"/>
  <c r="BE6" i="34"/>
  <c r="CD6" i="34" s="1"/>
  <c r="CD14" i="34"/>
  <c r="CD8" i="34"/>
  <c r="CD11" i="34"/>
  <c r="CD9" i="34"/>
  <c r="CC13" i="34"/>
  <c r="CC12" i="34"/>
  <c r="CC10" i="34"/>
  <c r="CC8" i="34"/>
  <c r="CC7" i="34"/>
  <c r="CC11" i="34"/>
  <c r="CC6" i="34"/>
  <c r="CC9" i="34"/>
  <c r="CC14" i="34"/>
  <c r="P18" i="34"/>
  <c r="BI18" i="34"/>
  <c r="Z18" i="34"/>
  <c r="AY18" i="34"/>
  <c r="BN18" i="34"/>
  <c r="AO18" i="34"/>
  <c r="BX18" i="34"/>
  <c r="AE18" i="34"/>
  <c r="BS18" i="34"/>
  <c r="AJ18" i="34"/>
  <c r="U18" i="34"/>
  <c r="K18" i="34"/>
  <c r="AT18" i="34"/>
  <c r="O24" i="25"/>
  <c r="F24" i="25" s="1"/>
  <c r="U23" i="25"/>
  <c r="T23" i="25"/>
  <c r="R23" i="25"/>
  <c r="S23" i="25"/>
  <c r="Q23" i="25"/>
  <c r="E22" i="25"/>
  <c r="D21" i="25"/>
  <c r="I21" i="25"/>
  <c r="J21" i="25" s="1"/>
  <c r="L21" i="25" s="1"/>
  <c r="CD17" i="34" l="1"/>
  <c r="CD18" i="34"/>
  <c r="CC17" i="34"/>
  <c r="CC18" i="34"/>
  <c r="O25" i="25"/>
  <c r="F25" i="25" s="1"/>
  <c r="T24" i="25"/>
  <c r="S24" i="25"/>
  <c r="R24" i="25"/>
  <c r="Q24" i="25"/>
  <c r="U24" i="25"/>
  <c r="E23" i="25"/>
  <c r="I22" i="25"/>
  <c r="J22" i="25" s="1"/>
  <c r="L22" i="25" s="1"/>
  <c r="D22" i="25"/>
  <c r="O26" i="25" l="1"/>
  <c r="F26" i="25" s="1"/>
  <c r="S25" i="25"/>
  <c r="U25" i="25"/>
  <c r="T25" i="25"/>
  <c r="R25" i="25"/>
  <c r="Q25" i="25"/>
  <c r="E24" i="25"/>
  <c r="D23" i="25"/>
  <c r="I23" i="25"/>
  <c r="J23" i="25" s="1"/>
  <c r="L23" i="25" s="1"/>
  <c r="D42" i="17"/>
  <c r="D9" i="17"/>
  <c r="D38" i="17"/>
  <c r="D30" i="17"/>
  <c r="D5" i="17"/>
  <c r="D17" i="17"/>
  <c r="D26" i="17"/>
  <c r="D22" i="17"/>
  <c r="O27" i="25" l="1"/>
  <c r="F27" i="25" s="1"/>
  <c r="U26" i="25"/>
  <c r="S26" i="25"/>
  <c r="T26" i="25"/>
  <c r="R26" i="25"/>
  <c r="Q26" i="25"/>
  <c r="E25" i="25"/>
  <c r="I24" i="25"/>
  <c r="J24" i="25" s="1"/>
  <c r="L24" i="25" s="1"/>
  <c r="D24" i="25"/>
  <c r="O28" i="25" l="1"/>
  <c r="F28" i="25" s="1"/>
  <c r="U27" i="25"/>
  <c r="T27" i="25"/>
  <c r="S27" i="25"/>
  <c r="R27" i="25"/>
  <c r="Q27" i="25"/>
  <c r="D25" i="25"/>
  <c r="I25" i="25"/>
  <c r="J25" i="25" s="1"/>
  <c r="L25" i="25" s="1"/>
  <c r="E26" i="25"/>
  <c r="O29" i="25" l="1"/>
  <c r="F29" i="25" s="1"/>
  <c r="T28" i="25"/>
  <c r="U28" i="25"/>
  <c r="S28" i="25"/>
  <c r="R28" i="25"/>
  <c r="Q28" i="25"/>
  <c r="D26" i="25"/>
  <c r="I26" i="25"/>
  <c r="J26" i="25" s="1"/>
  <c r="L26" i="25" s="1"/>
  <c r="E27" i="25"/>
  <c r="O30" i="25" l="1"/>
  <c r="F30" i="25" s="1"/>
  <c r="U29" i="25"/>
  <c r="T29" i="25"/>
  <c r="S29" i="25"/>
  <c r="R29" i="25"/>
  <c r="Q29" i="25"/>
  <c r="E28" i="25"/>
  <c r="D27" i="25"/>
  <c r="I27" i="25"/>
  <c r="J27" i="25" s="1"/>
  <c r="L27" i="25" s="1"/>
  <c r="O31" i="25" l="1"/>
  <c r="F31" i="25" s="1"/>
  <c r="U30" i="25"/>
  <c r="T30" i="25"/>
  <c r="S30" i="25"/>
  <c r="R30" i="25"/>
  <c r="Q30" i="25"/>
  <c r="D28" i="25"/>
  <c r="I28" i="25"/>
  <c r="J28" i="25" s="1"/>
  <c r="L28" i="25" s="1"/>
  <c r="E29" i="25"/>
  <c r="O32" i="25" l="1"/>
  <c r="F32" i="25" s="1"/>
  <c r="Q31" i="25"/>
  <c r="U31" i="25"/>
  <c r="T31" i="25"/>
  <c r="S31" i="25"/>
  <c r="R31" i="25"/>
  <c r="E30" i="25"/>
  <c r="D29" i="25"/>
  <c r="I29" i="25"/>
  <c r="J29" i="25" s="1"/>
  <c r="L29" i="25" s="1"/>
  <c r="O33" i="25" l="1"/>
  <c r="F33" i="25" s="1"/>
  <c r="U32" i="25"/>
  <c r="T32" i="25"/>
  <c r="S32" i="25"/>
  <c r="R32" i="25"/>
  <c r="Q32" i="25"/>
  <c r="E31" i="25"/>
  <c r="I30" i="25"/>
  <c r="J30" i="25" s="1"/>
  <c r="L30" i="25" s="1"/>
  <c r="D30" i="25"/>
  <c r="O34" i="25" l="1"/>
  <c r="F34" i="25" s="1"/>
  <c r="U33" i="25"/>
  <c r="T33" i="25"/>
  <c r="S33" i="25"/>
  <c r="R33" i="25"/>
  <c r="Q33" i="25"/>
  <c r="D31" i="25"/>
  <c r="I31" i="25"/>
  <c r="J31" i="25" s="1"/>
  <c r="L31" i="25" s="1"/>
  <c r="E32" i="25"/>
  <c r="O35" i="25" l="1"/>
  <c r="F35" i="25" s="1"/>
  <c r="R34" i="25"/>
  <c r="Q34" i="25"/>
  <c r="U34" i="25"/>
  <c r="T34" i="25"/>
  <c r="S34" i="25"/>
  <c r="D32" i="25"/>
  <c r="I32" i="25"/>
  <c r="J32" i="25" s="1"/>
  <c r="L32" i="25" s="1"/>
  <c r="E33" i="25"/>
  <c r="O36" i="25" l="1"/>
  <c r="F36" i="25" s="1"/>
  <c r="U35" i="25"/>
  <c r="T35" i="25"/>
  <c r="S35" i="25"/>
  <c r="R35" i="25"/>
  <c r="Q35" i="25"/>
  <c r="D33" i="25"/>
  <c r="I33" i="25"/>
  <c r="J33" i="25" s="1"/>
  <c r="L33" i="25" s="1"/>
  <c r="E34" i="25"/>
  <c r="O37" i="25" l="1"/>
  <c r="F37" i="25" s="1"/>
  <c r="U36" i="25"/>
  <c r="T36" i="25"/>
  <c r="S36" i="25"/>
  <c r="R36" i="25"/>
  <c r="Q36" i="25"/>
  <c r="E35" i="25"/>
  <c r="D34" i="25"/>
  <c r="I34" i="25"/>
  <c r="J34" i="25" s="1"/>
  <c r="L34" i="25" s="1"/>
  <c r="O38" i="25" l="1"/>
  <c r="F38" i="25" s="1"/>
  <c r="S37" i="25"/>
  <c r="R37" i="25"/>
  <c r="Q37" i="25"/>
  <c r="U37" i="25"/>
  <c r="T37" i="25"/>
  <c r="E36" i="25"/>
  <c r="D35" i="25"/>
  <c r="I35" i="25"/>
  <c r="J35" i="25" s="1"/>
  <c r="L35" i="25" s="1"/>
  <c r="O39" i="25" l="1"/>
  <c r="F39" i="25" s="1"/>
  <c r="U38" i="25"/>
  <c r="T38" i="25"/>
  <c r="S38" i="25"/>
  <c r="R38" i="25"/>
  <c r="Q38" i="25"/>
  <c r="E37" i="25"/>
  <c r="D36" i="25"/>
  <c r="I36" i="25"/>
  <c r="J36" i="25" s="1"/>
  <c r="L36" i="25" s="1"/>
  <c r="O40" i="25" l="1"/>
  <c r="F40" i="25" s="1"/>
  <c r="U39" i="25"/>
  <c r="T39" i="25"/>
  <c r="R39" i="25"/>
  <c r="S39" i="25"/>
  <c r="Q39" i="25"/>
  <c r="E38" i="25"/>
  <c r="D37" i="25"/>
  <c r="I37" i="25"/>
  <c r="J37" i="25" s="1"/>
  <c r="L37" i="25" s="1"/>
  <c r="O41" i="25" l="1"/>
  <c r="F41" i="25" s="1"/>
  <c r="T40" i="25"/>
  <c r="S40" i="25"/>
  <c r="R40" i="25"/>
  <c r="Q40" i="25"/>
  <c r="U40" i="25"/>
  <c r="E39" i="25"/>
  <c r="D38" i="25"/>
  <c r="I38" i="25"/>
  <c r="J38" i="25" s="1"/>
  <c r="L38" i="25" s="1"/>
  <c r="O42" i="25" l="1"/>
  <c r="F42" i="25" s="1"/>
  <c r="U41" i="25"/>
  <c r="T41" i="25"/>
  <c r="S41" i="25"/>
  <c r="R41" i="25"/>
  <c r="Q41" i="25"/>
  <c r="E40" i="25"/>
  <c r="D39" i="25"/>
  <c r="I39" i="25"/>
  <c r="J39" i="25" s="1"/>
  <c r="L39" i="25" s="1"/>
  <c r="O43" i="25" l="1"/>
  <c r="F43" i="25" s="1"/>
  <c r="U42" i="25"/>
  <c r="T42" i="25"/>
  <c r="S42" i="25"/>
  <c r="R42" i="25"/>
  <c r="Q42" i="25"/>
  <c r="E41" i="25"/>
  <c r="D40" i="25"/>
  <c r="I40" i="25"/>
  <c r="J40" i="25" s="1"/>
  <c r="L40" i="25" s="1"/>
  <c r="U43" i="25" l="1"/>
  <c r="T43" i="25"/>
  <c r="S43" i="25"/>
  <c r="R43" i="25"/>
  <c r="Q43" i="25"/>
  <c r="D41" i="25"/>
  <c r="I41" i="25"/>
  <c r="J41" i="25" s="1"/>
  <c r="L41" i="25" s="1"/>
  <c r="E42" i="25"/>
  <c r="E43" i="25"/>
  <c r="I42" i="25" l="1"/>
  <c r="J42" i="25" s="1"/>
  <c r="L42" i="25" s="1"/>
  <c r="D42" i="25"/>
  <c r="D43" i="25"/>
  <c r="I43" i="25"/>
  <c r="J43" i="25" s="1"/>
  <c r="L43" i="25" s="1"/>
  <c r="AS33" i="32" l="1"/>
  <c r="AS35" i="32"/>
</calcChain>
</file>

<file path=xl/sharedStrings.xml><?xml version="1.0" encoding="utf-8"?>
<sst xmlns="http://schemas.openxmlformats.org/spreadsheetml/2006/main" count="4849" uniqueCount="752">
  <si>
    <t>Team Name</t>
  </si>
  <si>
    <t>Chassis</t>
  </si>
  <si>
    <t>Engine</t>
  </si>
  <si>
    <t>Tyres</t>
  </si>
  <si>
    <t>Dallara</t>
  </si>
  <si>
    <t>Reynard</t>
  </si>
  <si>
    <t>Tatuus</t>
  </si>
  <si>
    <t>Honda</t>
  </si>
  <si>
    <t>Chevrolet</t>
  </si>
  <si>
    <t>Toyota</t>
  </si>
  <si>
    <t>Porsche</t>
  </si>
  <si>
    <t>Firestone</t>
  </si>
  <si>
    <t>Michelin</t>
  </si>
  <si>
    <t>Pirelli</t>
  </si>
  <si>
    <t>Hankook</t>
  </si>
  <si>
    <t>Pos</t>
  </si>
  <si>
    <t>Q</t>
  </si>
  <si>
    <t>R1</t>
  </si>
  <si>
    <t>R2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</si>
  <si>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</si>
  <si>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</si>
  <si>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</si>
  <si>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</si>
  <si>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</si>
  <si>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</si>
  <si>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</si>
  <si>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</si>
  <si>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</si>
  <si>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</si>
  <si>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</si>
  <si>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</si>
  <si>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Round Title</t>
  </si>
  <si>
    <t>Track</t>
  </si>
  <si>
    <t>Country</t>
  </si>
  <si>
    <t>Lola</t>
  </si>
  <si>
    <t>United States</t>
  </si>
  <si>
    <t>Spain</t>
  </si>
  <si>
    <t>Italy</t>
  </si>
  <si>
    <t>United Kingdom</t>
  </si>
  <si>
    <t>Aero</t>
  </si>
  <si>
    <t>OVR</t>
  </si>
  <si>
    <t>Hybrid</t>
  </si>
  <si>
    <t>Driver AVG</t>
  </si>
  <si>
    <t>Driver Name</t>
  </si>
  <si>
    <t>Car No</t>
  </si>
  <si>
    <t>Points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</si>
  <si>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</si>
  <si>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</si>
  <si>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</si>
  <si>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</si>
  <si>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</si>
  <si>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</si>
  <si>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</si>
  <si>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</si>
  <si>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</si>
  <si>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</si>
  <si>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</si>
  <si>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</si>
  <si>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Pole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</si>
  <si>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</si>
  <si>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</si>
  <si>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</si>
  <si>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</si>
  <si>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</si>
  <si>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</si>
  <si>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</si>
  <si>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</si>
  <si>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</si>
  <si>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</si>
  <si>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</si>
  <si>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</si>
  <si>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</si>
  <si>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</si>
  <si>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</si>
  <si>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</si>
  <si>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</si>
  <si>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</si>
  <si>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</si>
  <si>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</si>
  <si>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</si>
  <si>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</si>
  <si>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</si>
  <si>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</si>
  <si>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France</t>
  </si>
  <si>
    <t>Germany</t>
  </si>
  <si>
    <t>Australia</t>
  </si>
  <si>
    <t>Bahrain</t>
  </si>
  <si>
    <t>Autodromo Jose Carlos Pace</t>
  </si>
  <si>
    <t>Brazil</t>
  </si>
  <si>
    <t>South Africa</t>
  </si>
  <si>
    <t>Bahrain International Circuit</t>
  </si>
  <si>
    <t>Circuito de Jerez Angel Nieto</t>
  </si>
  <si>
    <t>Silverstone Circuit</t>
  </si>
  <si>
    <t>Autodromo Nazionale del Mugello</t>
  </si>
  <si>
    <t>Circuit de Magny-Cours Nevers</t>
  </si>
  <si>
    <t>Kyalami Grand Prix Circuit</t>
  </si>
  <si>
    <t>Adelaide Street Circuit</t>
  </si>
  <si>
    <t>Session</t>
  </si>
  <si>
    <t>Details</t>
  </si>
  <si>
    <t>Practice</t>
  </si>
  <si>
    <t>Qualifying 1</t>
  </si>
  <si>
    <t>Qualifying 2</t>
  </si>
  <si>
    <t>Race 1</t>
  </si>
  <si>
    <t>Race 2</t>
  </si>
  <si>
    <t>Every Driver gets a Single Lap</t>
  </si>
  <si>
    <t>Top 8 run in Reverse Order to Set Grid</t>
  </si>
  <si>
    <t>Uses Results of Q2 to form Grid, Most Points</t>
  </si>
  <si>
    <t>Uses Results of Q1 to form Grid, Less Points</t>
  </si>
  <si>
    <t>Single Session, provides Small Bonus</t>
  </si>
  <si>
    <t>Daytona International Speedway RC</t>
  </si>
  <si>
    <t>Nurburgring GP Circuit</t>
  </si>
  <si>
    <t>Driver 1</t>
  </si>
  <si>
    <t>Driver 2</t>
  </si>
  <si>
    <t>Driver 3</t>
  </si>
  <si>
    <t>Score</t>
  </si>
  <si>
    <t>Crash</t>
  </si>
  <si>
    <t>Australian Event</t>
  </si>
  <si>
    <t>Spanish Event</t>
  </si>
  <si>
    <t>Italian Event</t>
  </si>
  <si>
    <t>British Event</t>
  </si>
  <si>
    <t>German Event</t>
  </si>
  <si>
    <t>South African Event</t>
  </si>
  <si>
    <t>Brazilian Event</t>
  </si>
  <si>
    <t>American Event</t>
  </si>
  <si>
    <t>E</t>
  </si>
  <si>
    <t>T</t>
  </si>
  <si>
    <t>Practice Results</t>
  </si>
  <si>
    <t>Qualifying Running Order</t>
  </si>
  <si>
    <t>Qualifying 1 Results</t>
  </si>
  <si>
    <t>Qualifying 2 Results</t>
  </si>
  <si>
    <t>Full Qualifying Results</t>
  </si>
  <si>
    <t>-</t>
  </si>
  <si>
    <t>Race 1 - Race Results</t>
  </si>
  <si>
    <t>Race 2 - Grid</t>
  </si>
  <si>
    <t>Race 1 - Grid</t>
  </si>
  <si>
    <t>Race 2 - Race Results</t>
  </si>
  <si>
    <t>He has no idea what he is doing
Junior Series</t>
  </si>
  <si>
    <t>Main Series Round Format</t>
  </si>
  <si>
    <t>Junior Series Round Format</t>
  </si>
  <si>
    <t>Qualifying</t>
  </si>
  <si>
    <t>Race</t>
  </si>
  <si>
    <t>Single Race, no Stops, Main Series R2 Points</t>
  </si>
  <si>
    <t>Every Driver gets a Single Lap, no Points</t>
  </si>
  <si>
    <t>Main Series
Points System</t>
  </si>
  <si>
    <t>Junior Series
Points System</t>
  </si>
  <si>
    <t>Pts</t>
  </si>
  <si>
    <t>Round</t>
  </si>
  <si>
    <t>Race Winner</t>
  </si>
  <si>
    <t>Second Place</t>
  </si>
  <si>
    <t>Third Place</t>
  </si>
  <si>
    <t>Polesitter</t>
  </si>
  <si>
    <t>Podium Finishers</t>
  </si>
  <si>
    <t>Driver Score</t>
  </si>
  <si>
    <t>Crash Score</t>
  </si>
  <si>
    <t>Reliability</t>
  </si>
  <si>
    <t>Team</t>
  </si>
  <si>
    <t>Car</t>
  </si>
  <si>
    <t>Overall</t>
  </si>
  <si>
    <t>Driver List</t>
  </si>
  <si>
    <t>Junior Series Team 1</t>
  </si>
  <si>
    <t>Junior Series Team 10</t>
  </si>
  <si>
    <t>Junior Series Team 2</t>
  </si>
  <si>
    <t>Junior Series Team 3</t>
  </si>
  <si>
    <t>Junior Series Team 4</t>
  </si>
  <si>
    <t>Junior Series Team 5</t>
  </si>
  <si>
    <t>Junior Series Team 6</t>
  </si>
  <si>
    <t>Junior Series Team 7</t>
  </si>
  <si>
    <t>Junior Series Team 8</t>
  </si>
  <si>
    <t>Junior Series Team 9</t>
  </si>
  <si>
    <t>P-</t>
  </si>
  <si>
    <t>PDNF</t>
  </si>
  <si>
    <t>PDNS</t>
  </si>
  <si>
    <t>PDSQ</t>
  </si>
  <si>
    <t>Points System</t>
  </si>
  <si>
    <t>Whatever I call this</t>
  </si>
  <si>
    <t>Suspension</t>
  </si>
  <si>
    <t>Front</t>
  </si>
  <si>
    <t>Rear</t>
  </si>
  <si>
    <t>Floor</t>
  </si>
  <si>
    <t>Sidepods</t>
  </si>
  <si>
    <t>Jack Doohan</t>
  </si>
  <si>
    <t>Pierre Gasly</t>
  </si>
  <si>
    <t>Fernando Alonso</t>
  </si>
  <si>
    <t>Lance Stroll</t>
  </si>
  <si>
    <t>Charles Leclerc</t>
  </si>
  <si>
    <t>Lewis Hamilton</t>
  </si>
  <si>
    <t>Esteban Ocon</t>
  </si>
  <si>
    <t>Oliver Bearman</t>
  </si>
  <si>
    <t>Lando Norris</t>
  </si>
  <si>
    <t>Oscar Piastri</t>
  </si>
  <si>
    <t>Isack Hadjar</t>
  </si>
  <si>
    <t>Liam Lawson</t>
  </si>
  <si>
    <t>Max Verstappen</t>
  </si>
  <si>
    <t>Yuki Tsunoda</t>
  </si>
  <si>
    <t>Alexander Albon</t>
  </si>
  <si>
    <t>Carlos Sainz Jr</t>
  </si>
  <si>
    <t>Leonardo Fornaroli</t>
  </si>
  <si>
    <t>Formula 2</t>
  </si>
  <si>
    <t>Roman Stanek</t>
  </si>
  <si>
    <t>Pepe Marti</t>
  </si>
  <si>
    <t>Arvid Lindblad</t>
  </si>
  <si>
    <t>Oliver Goethe</t>
  </si>
  <si>
    <t>Richard Verschoor</t>
  </si>
  <si>
    <t>Luke Browning</t>
  </si>
  <si>
    <t>Dino Beganovic</t>
  </si>
  <si>
    <t>Gabriele Mini</t>
  </si>
  <si>
    <t>Jak Crawford</t>
  </si>
  <si>
    <t>Victor Martins</t>
  </si>
  <si>
    <t>Ritomo Miyata</t>
  </si>
  <si>
    <t>Alex Dunne</t>
  </si>
  <si>
    <t>Joshua Durksen</t>
  </si>
  <si>
    <t>Rafael Villagomez</t>
  </si>
  <si>
    <t>Rafael Camara</t>
  </si>
  <si>
    <t>Noah Stromsted</t>
  </si>
  <si>
    <t>Laurens van Hoepen</t>
  </si>
  <si>
    <t>Tuukka Taponen</t>
  </si>
  <si>
    <t>Mari Boya</t>
  </si>
  <si>
    <t>Martinius Stenshorne</t>
  </si>
  <si>
    <t>Alessandro Giusti</t>
  </si>
  <si>
    <t>Bruno del Pino</t>
  </si>
  <si>
    <t>Callum Voisin</t>
  </si>
  <si>
    <t>Louis Sharp</t>
  </si>
  <si>
    <t>Roman Bilinski</t>
  </si>
  <si>
    <t>Freddie Slater</t>
  </si>
  <si>
    <t>IndyCar</t>
  </si>
  <si>
    <t>David Malukas</t>
  </si>
  <si>
    <t>Santino Ferrucci</t>
  </si>
  <si>
    <t>Colton Herta</t>
  </si>
  <si>
    <t>Kyle Kirkwood</t>
  </si>
  <si>
    <t>Marcus Ericsson</t>
  </si>
  <si>
    <t>Pato O'Ward</t>
  </si>
  <si>
    <t>Nolan Siegel</t>
  </si>
  <si>
    <t>Christian Lundgaard</t>
  </si>
  <si>
    <t>Kyffin Simpson</t>
  </si>
  <si>
    <t>Scott Dixon</t>
  </si>
  <si>
    <t>Alex Palou</t>
  </si>
  <si>
    <t>Rinus VeeKay</t>
  </si>
  <si>
    <t>Jacob Abel</t>
  </si>
  <si>
    <t>Alexander Rossi</t>
  </si>
  <si>
    <t>Christian Rasmussen</t>
  </si>
  <si>
    <t>Conor Daly</t>
  </si>
  <si>
    <t>Sting Ray Robb</t>
  </si>
  <si>
    <t>Felix Rosenqvist</t>
  </si>
  <si>
    <t>Marcus Armstrong</t>
  </si>
  <si>
    <t>Robert Shwartzman</t>
  </si>
  <si>
    <t>Callum Ilott</t>
  </si>
  <si>
    <t>Graham Rahal</t>
  </si>
  <si>
    <t>Devlin DeFrancesco</t>
  </si>
  <si>
    <t>Louis Foster</t>
  </si>
  <si>
    <t>Josef Newgarden</t>
  </si>
  <si>
    <t>Scott McLaughlin</t>
  </si>
  <si>
    <t>Will Power</t>
  </si>
  <si>
    <t>Myles Rowe</t>
  </si>
  <si>
    <t>Dennis Hauger</t>
  </si>
  <si>
    <t>James Roe</t>
  </si>
  <si>
    <t>Josh Pierson</t>
  </si>
  <si>
    <t>Caio Collet</t>
  </si>
  <si>
    <t>Pascal Wehrlein</t>
  </si>
  <si>
    <t>Antonio Felix da Costa</t>
  </si>
  <si>
    <t>Stoffel Vandoorne</t>
  </si>
  <si>
    <t>Jake Hughes</t>
  </si>
  <si>
    <t>David Beckmann</t>
  </si>
  <si>
    <t>Dan Ticktum</t>
  </si>
  <si>
    <t>Robin Frijns</t>
  </si>
  <si>
    <t>Sebastien Buemi</t>
  </si>
  <si>
    <t>Taylor Barnard</t>
  </si>
  <si>
    <t>Maximilian Gunther</t>
  </si>
  <si>
    <t>Jean-Eric Vergne</t>
  </si>
  <si>
    <t>Mitch Evans</t>
  </si>
  <si>
    <t>Nick Cassidy</t>
  </si>
  <si>
    <t>Zane Maloney</t>
  </si>
  <si>
    <t>Norman Nato</t>
  </si>
  <si>
    <t>Oliver Rowland</t>
  </si>
  <si>
    <t>Nyck de Vries</t>
  </si>
  <si>
    <t>Edoardo Mortara</t>
  </si>
  <si>
    <t>Jake Dennis</t>
  </si>
  <si>
    <t>Nico Muller</t>
  </si>
  <si>
    <t>Kamui Kobayashi</t>
  </si>
  <si>
    <t>Brendon Hartley</t>
  </si>
  <si>
    <t>Ryo Hirakawa</t>
  </si>
  <si>
    <t>Sebastien Bourdais</t>
  </si>
  <si>
    <t>Jenson Button</t>
  </si>
  <si>
    <t>Kevin Magnussen</t>
  </si>
  <si>
    <t>Mick Schumacher</t>
  </si>
  <si>
    <t>Robert Kubica</t>
  </si>
  <si>
    <t>Doriane Pin</t>
  </si>
  <si>
    <t>Maya Weug</t>
  </si>
  <si>
    <t>Marta Garcia</t>
  </si>
  <si>
    <t>Aurelia Nobels</t>
  </si>
  <si>
    <t>Chloe Chambers</t>
  </si>
  <si>
    <t>Abbi Pulling</t>
  </si>
  <si>
    <t>Jamie Chadwick</t>
  </si>
  <si>
    <t>Marco Andretti</t>
  </si>
  <si>
    <t>Ryan Hunter-Reay</t>
  </si>
  <si>
    <t>Jack Harvey</t>
  </si>
  <si>
    <t>Helio Castroneves</t>
  </si>
  <si>
    <t>Takuma Sato</t>
  </si>
  <si>
    <t>Theo Pourchaire</t>
  </si>
  <si>
    <t>Hunter McElrea</t>
  </si>
  <si>
    <t>Toby Sowery</t>
  </si>
  <si>
    <t>Katherine Legge</t>
  </si>
  <si>
    <t>Tristan Vautier</t>
  </si>
  <si>
    <t>Daniel Ricciardo</t>
  </si>
  <si>
    <t>Valtteri Bottas</t>
  </si>
  <si>
    <t>PWDN</t>
  </si>
  <si>
    <t>PDNQ</t>
  </si>
  <si>
    <t>Deg</t>
  </si>
  <si>
    <t>Deg Score</t>
  </si>
  <si>
    <t>Bruh Racing</t>
  </si>
  <si>
    <t>Niks</t>
  </si>
  <si>
    <t>Bottas</t>
  </si>
  <si>
    <t>Round Details</t>
  </si>
  <si>
    <t>Season Length</t>
  </si>
  <si>
    <t>Track Name</t>
  </si>
  <si>
    <t>Round No</t>
  </si>
  <si>
    <t>P25</t>
  </si>
  <si>
    <t>P26</t>
  </si>
  <si>
    <t>P27</t>
  </si>
  <si>
    <t>P28</t>
  </si>
  <si>
    <t>P29</t>
  </si>
  <si>
    <t>P30</t>
  </si>
  <si>
    <t>#26</t>
  </si>
  <si>
    <t>#27</t>
  </si>
  <si>
    <t>#28</t>
  </si>
  <si>
    <t>Beasty</t>
  </si>
  <si>
    <t>Project D Racing</t>
  </si>
  <si>
    <t>Kenzie</t>
  </si>
  <si>
    <t>URT Motorsports</t>
  </si>
  <si>
    <t>George Russell</t>
  </si>
  <si>
    <t>Hunter Motorsport</t>
  </si>
  <si>
    <t>Update 1</t>
  </si>
  <si>
    <t>Update 2</t>
  </si>
  <si>
    <t>Update 3</t>
  </si>
  <si>
    <t>Update 4</t>
  </si>
  <si>
    <t>Super Corby Racing</t>
  </si>
  <si>
    <t>Sim Party Racing</t>
  </si>
  <si>
    <t>Kebab</t>
  </si>
  <si>
    <t>F3 + F1A</t>
  </si>
  <si>
    <t>WEC, NXT + Misc</t>
  </si>
  <si>
    <t>Tactically Perfect Racing</t>
  </si>
  <si>
    <t>RES</t>
  </si>
  <si>
    <t>Reserve</t>
  </si>
  <si>
    <t>Sepang International Circuit</t>
  </si>
  <si>
    <t>Malaysia</t>
  </si>
  <si>
    <t>Tyre Wear</t>
  </si>
  <si>
    <t>R1 Length</t>
  </si>
  <si>
    <t>R2 Length</t>
  </si>
  <si>
    <t>Event</t>
  </si>
  <si>
    <t>Ev 1</t>
  </si>
  <si>
    <t>Ev 2</t>
  </si>
  <si>
    <t>Ev 3</t>
  </si>
  <si>
    <t>Ev 4</t>
  </si>
  <si>
    <t>Ev 5</t>
  </si>
  <si>
    <t>Ev 6</t>
  </si>
  <si>
    <t>Ev 7</t>
  </si>
  <si>
    <t>Ev 8</t>
  </si>
  <si>
    <t>Ev 9</t>
  </si>
  <si>
    <t>Ev 10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</si>
  <si>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</si>
  <si>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</si>
  <si>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</si>
  <si>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</si>
  <si>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</si>
  <si>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</si>
  <si>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</si>
  <si>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</si>
  <si>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</si>
  <si>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</si>
  <si>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Component</t>
  </si>
  <si>
    <t>Setup</t>
  </si>
  <si>
    <t>Circuit Length</t>
  </si>
  <si>
    <t>Belgium</t>
  </si>
  <si>
    <t>Circuit de Spa-Francorshamps</t>
  </si>
  <si>
    <t>Autodromo Nazionale di Monza</t>
  </si>
  <si>
    <t>Brandon</t>
  </si>
  <si>
    <t>Susp</t>
  </si>
  <si>
    <t>if you see this text it means I forgot to change it</t>
  </si>
  <si>
    <t>Upgrades</t>
  </si>
  <si>
    <t>Chassis Upgrades</t>
  </si>
  <si>
    <t>Engine Upgrades</t>
  </si>
  <si>
    <t>Tyre Upgrades</t>
  </si>
  <si>
    <t>Supplier</t>
  </si>
  <si>
    <t>Drivers Standings</t>
  </si>
  <si>
    <t>Teams Standings</t>
  </si>
  <si>
    <t>Team Lineups</t>
  </si>
  <si>
    <t>Team Entries</t>
  </si>
  <si>
    <t>Upgrade 1</t>
  </si>
  <si>
    <t>Upgrade 2</t>
  </si>
  <si>
    <t>Upgrade 3</t>
  </si>
  <si>
    <t>Upgrade 4</t>
  </si>
  <si>
    <t>Upgrade 5</t>
  </si>
  <si>
    <t>Upgrade</t>
  </si>
  <si>
    <t>Team Stats</t>
  </si>
  <si>
    <t>Team Average OVR</t>
  </si>
  <si>
    <t>Team Reliability</t>
  </si>
  <si>
    <t>Team Tyre Wear</t>
  </si>
  <si>
    <t>Team Car Performance</t>
  </si>
  <si>
    <t>Engine Performances</t>
  </si>
  <si>
    <t>Tyre Performances</t>
  </si>
  <si>
    <t>PEXC</t>
  </si>
  <si>
    <t>Gain</t>
  </si>
  <si>
    <t>Component Scores</t>
  </si>
  <si>
    <t>Hockenheimring</t>
  </si>
  <si>
    <t>Retiring Drivers</t>
  </si>
  <si>
    <t>Max Points (Driver)</t>
  </si>
  <si>
    <t>Events Complete</t>
  </si>
  <si>
    <t>Events Remaining</t>
  </si>
  <si>
    <t>Min Points to Title - Team</t>
  </si>
  <si>
    <t>Min Points to Title - Driver</t>
  </si>
  <si>
    <t>Gap to P2 - Driver</t>
  </si>
  <si>
    <t>Gap to P2 - Team</t>
  </si>
  <si>
    <t>PNC</t>
  </si>
  <si>
    <t>R2
Pole</t>
  </si>
  <si>
    <t>Team
Score</t>
  </si>
  <si>
    <t>Aerodynamic Performance</t>
  </si>
  <si>
    <t>Front Sus</t>
  </si>
  <si>
    <t>Rear Sus</t>
  </si>
  <si>
    <t>Setup Scores</t>
  </si>
  <si>
    <t>Boosted Components</t>
  </si>
  <si>
    <t>Season Calendar</t>
  </si>
  <si>
    <t>Balanced Score</t>
  </si>
  <si>
    <t>Balance Values</t>
  </si>
  <si>
    <t>Spine</t>
  </si>
  <si>
    <t>S</t>
  </si>
  <si>
    <t>Total</t>
  </si>
  <si>
    <t>Event 11</t>
  </si>
  <si>
    <t>Event 12</t>
  </si>
  <si>
    <t>Circuit of The Americas</t>
  </si>
  <si>
    <t>Japanese Event</t>
  </si>
  <si>
    <t>Suzuka Circuit</t>
  </si>
  <si>
    <t>Japan</t>
  </si>
  <si>
    <t>#29</t>
  </si>
  <si>
    <t>#30</t>
  </si>
  <si>
    <t>#31</t>
  </si>
  <si>
    <t>Gabriel Bortoleto</t>
  </si>
  <si>
    <t>TDS</t>
  </si>
  <si>
    <t>Available Drivers</t>
  </si>
  <si>
    <t>Centurion Engineering</t>
  </si>
  <si>
    <t>hopeless</t>
  </si>
  <si>
    <t>March</t>
  </si>
  <si>
    <t>Bruh</t>
  </si>
  <si>
    <t>Tactically</t>
  </si>
  <si>
    <t>Super Corby</t>
  </si>
  <si>
    <t>Project D</t>
  </si>
  <si>
    <t>Sim Party</t>
  </si>
  <si>
    <t>Centurion</t>
  </si>
  <si>
    <t>Apex Motorsports</t>
  </si>
  <si>
    <t>Ev 11</t>
  </si>
  <si>
    <t>Ev 12</t>
  </si>
  <si>
    <t>venue</t>
  </si>
  <si>
    <t>team</t>
  </si>
  <si>
    <t>spine</t>
  </si>
  <si>
    <t>tyres</t>
  </si>
  <si>
    <t>drivers</t>
  </si>
  <si>
    <t>race len</t>
  </si>
  <si>
    <t>bruh</t>
  </si>
  <si>
    <t>pirelli</t>
  </si>
  <si>
    <t>march</t>
  </si>
  <si>
    <t>lap 1</t>
  </si>
  <si>
    <t>lap 2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</si>
  <si>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</si>
  <si>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</si>
  <si>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</si>
  <si>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</si>
  <si>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</si>
  <si>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</si>
  <si>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</si>
  <si>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</si>
  <si>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</si>
  <si>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</si>
  <si>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</si>
  <si>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lap 14</t>
  </si>
  <si>
    <t>lap 15</t>
  </si>
  <si>
    <t>lap 16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</si>
  <si>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</si>
  <si>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</si>
  <si>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</si>
  <si>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</si>
  <si>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</si>
  <si>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</si>
  <si>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</si>
  <si>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</si>
  <si>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</si>
  <si>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lap 26</t>
  </si>
  <si>
    <t>lap 27</t>
  </si>
  <si>
    <t>lap 28</t>
  </si>
  <si>
    <t>lap 29</t>
  </si>
  <si>
    <t>lap 30</t>
  </si>
  <si>
    <t>lap 31</t>
  </si>
  <si>
    <t>lap 32</t>
  </si>
  <si>
    <t>lap no</t>
  </si>
  <si>
    <t>perf</t>
  </si>
  <si>
    <t>drop off</t>
  </si>
  <si>
    <t>rem life</t>
  </si>
  <si>
    <t>max - rem</t>
  </si>
  <si>
    <t>div 10 flr</t>
  </si>
  <si>
    <t>(deg flr +1) / 2</t>
  </si>
  <si>
    <t>flr</t>
  </si>
  <si>
    <t>range min</t>
  </si>
  <si>
    <t>range max</t>
  </si>
  <si>
    <t>tyre perf</t>
  </si>
  <si>
    <t>max life</t>
  </si>
  <si>
    <t>/1</t>
  </si>
  <si>
    <t>/1.5</t>
  </si>
  <si>
    <t>/2</t>
  </si>
  <si>
    <t>/3</t>
  </si>
  <si>
    <t>/4</t>
  </si>
  <si>
    <t>div</t>
  </si>
  <si>
    <t>min perf</t>
  </si>
  <si>
    <t>max perf</t>
  </si>
  <si>
    <t>Apex</t>
  </si>
  <si>
    <t>TDS7</t>
  </si>
  <si>
    <t>Team Aero Upgrades</t>
  </si>
  <si>
    <t>Kimi Antonelli</t>
  </si>
  <si>
    <t>Components</t>
  </si>
  <si>
    <t>Team Setup Upgrades Permitted</t>
  </si>
  <si>
    <t>Team Aerodynamic Upgrades</t>
  </si>
  <si>
    <t>Team Aerodynamic Upgrades Permitted</t>
  </si>
  <si>
    <t>Fuji Speedway</t>
  </si>
  <si>
    <t>Interlagos</t>
  </si>
  <si>
    <t>CoTA</t>
  </si>
  <si>
    <t>Kyalami</t>
  </si>
  <si>
    <t>Jerez</t>
  </si>
  <si>
    <t>Magny-Cours</t>
  </si>
  <si>
    <t>Silverstone</t>
  </si>
  <si>
    <t>Mugello</t>
  </si>
  <si>
    <t>Suzuka</t>
  </si>
  <si>
    <t>Sepang</t>
  </si>
  <si>
    <t>Adelaide</t>
  </si>
  <si>
    <t>Nurburgring</t>
  </si>
  <si>
    <t>Daytona</t>
  </si>
  <si>
    <t>Spa</t>
  </si>
  <si>
    <t>Monza</t>
  </si>
  <si>
    <t>Hockenheim</t>
  </si>
  <si>
    <t>Fuji</t>
  </si>
  <si>
    <t>Event Number:</t>
  </si>
  <si>
    <t>Ev No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</si>
  <si>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</si>
  <si>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</si>
  <si>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</si>
  <si>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</si>
  <si>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</si>
  <si>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</si>
  <si>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</si>
  <si>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</si>
  <si>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</si>
  <si>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</si>
  <si>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</si>
  <si>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</si>
  <si>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Incident Score</t>
  </si>
  <si>
    <t>DNF Score</t>
  </si>
  <si>
    <t>Circuit de Barcelona-Catalunya</t>
  </si>
  <si>
    <t>Barcelona</t>
  </si>
  <si>
    <t>Kevin</t>
  </si>
  <si>
    <t>Team Stellar</t>
  </si>
  <si>
    <t>Stellar</t>
  </si>
  <si>
    <t>Franco Colapinto</t>
  </si>
  <si>
    <t>Ugo Ugochukwu</t>
  </si>
  <si>
    <t>Charlie Wurz</t>
  </si>
  <si>
    <t>Sacha Fenestraz</t>
  </si>
  <si>
    <t>Zak O'Sullivan</t>
  </si>
  <si>
    <t>Kakunoshin Ohta</t>
  </si>
  <si>
    <t>Nirei Fukuzumi</t>
  </si>
  <si>
    <t>Ayumu Iwasa</t>
  </si>
  <si>
    <t>Oliver Rasmussen</t>
  </si>
  <si>
    <t>Car OVR</t>
  </si>
  <si>
    <t>Turkish Event</t>
  </si>
  <si>
    <t>Turkiye</t>
  </si>
  <si>
    <t>Singapore Event</t>
  </si>
  <si>
    <t>Marina Bay Street Circuit</t>
  </si>
  <si>
    <t>Singapore</t>
  </si>
  <si>
    <t>Dubai Autodrome</t>
  </si>
  <si>
    <t>UAE</t>
  </si>
  <si>
    <t>Circuit de Monaco</t>
  </si>
  <si>
    <t>Monaco</t>
  </si>
  <si>
    <t>Code</t>
  </si>
  <si>
    <t>Istanbul</t>
  </si>
  <si>
    <t>Dubai</t>
  </si>
  <si>
    <t>Track List</t>
  </si>
  <si>
    <t>Istanbul Park</t>
  </si>
  <si>
    <t xml:space="preserve"> </t>
  </si>
  <si>
    <t>Max Points (Team)</t>
  </si>
  <si>
    <t>Type</t>
  </si>
  <si>
    <t>Street Course</t>
  </si>
  <si>
    <t>Road Course</t>
  </si>
  <si>
    <t>Long Beach</t>
  </si>
  <si>
    <t>Streets of Long Beach</t>
  </si>
  <si>
    <t>Imola</t>
  </si>
  <si>
    <t>Imola Circuit</t>
  </si>
  <si>
    <t>E13</t>
  </si>
  <si>
    <t>Monaco Event</t>
  </si>
  <si>
    <t>Event 13</t>
  </si>
  <si>
    <t>Ev 13</t>
  </si>
  <si>
    <t>R</t>
  </si>
  <si>
    <t>L</t>
  </si>
  <si>
    <t>H</t>
  </si>
  <si>
    <t>P</t>
  </si>
  <si>
    <t>C</t>
  </si>
  <si>
    <t>M</t>
  </si>
  <si>
    <t>F</t>
  </si>
  <si>
    <t>Suppliers</t>
  </si>
  <si>
    <t>#7 Bruh Racing</t>
  </si>
  <si>
    <t>#8 Bruh Racing</t>
  </si>
  <si>
    <t>#9 Bruh Racing</t>
  </si>
  <si>
    <t>#22 Team Stellar</t>
  </si>
  <si>
    <t>Blue Flag Racing</t>
  </si>
  <si>
    <t>Blue Flag</t>
  </si>
  <si>
    <t>98-99 Racing</t>
  </si>
  <si>
    <t>98-99R</t>
  </si>
  <si>
    <t>TDS12</t>
  </si>
  <si>
    <t>Short Oval</t>
  </si>
  <si>
    <t>Phoenix</t>
  </si>
  <si>
    <t>Gateway</t>
  </si>
  <si>
    <t>Texas</t>
  </si>
  <si>
    <t>Speedway</t>
  </si>
  <si>
    <t>Phoenix Raceway</t>
  </si>
  <si>
    <t>WorldWide Technology Raceway</t>
  </si>
  <si>
    <t>Texas Motor Speedway</t>
  </si>
  <si>
    <t>Formula 1 + Formula E</t>
  </si>
  <si>
    <t>Arlington</t>
  </si>
  <si>
    <t>Streets of Arlington</t>
  </si>
  <si>
    <t>NC</t>
  </si>
  <si>
    <t>French Event</t>
  </si>
  <si>
    <t>Indianapolis</t>
  </si>
  <si>
    <t>IMS Road</t>
  </si>
  <si>
    <t>Indianapolis Motor Speedway</t>
  </si>
  <si>
    <t>Indianapolis Motor Speedway RC</t>
  </si>
  <si>
    <t>Shanghai</t>
  </si>
  <si>
    <t>Shanghai International Circuit</t>
  </si>
  <si>
    <t>China</t>
  </si>
  <si>
    <t>#80</t>
  </si>
  <si>
    <t>#81</t>
  </si>
  <si>
    <t>#82</t>
  </si>
  <si>
    <t>#69</t>
  </si>
  <si>
    <t>Aero: 2</t>
  </si>
  <si>
    <t>Team OVR: 2</t>
  </si>
  <si>
    <t>Aero: 3</t>
  </si>
  <si>
    <t>Front Susp: 3</t>
  </si>
  <si>
    <t>Aero: 1</t>
  </si>
  <si>
    <t>Front Susp: 1</t>
  </si>
  <si>
    <t>Rear Susp: 3</t>
  </si>
  <si>
    <t>Team OVR: 3</t>
  </si>
  <si>
    <t>Rear Susp: 2</t>
  </si>
  <si>
    <t>Chassis: 2</t>
  </si>
  <si>
    <t>Team OVR: 1</t>
  </si>
  <si>
    <t>Chassis: 3</t>
  </si>
  <si>
    <t>Chassis: 1</t>
  </si>
  <si>
    <t>Floor: 2</t>
  </si>
  <si>
    <t>Sidepods: 2</t>
  </si>
  <si>
    <t>Front Aero: 2</t>
  </si>
  <si>
    <t>Sidepods: 1</t>
  </si>
  <si>
    <t>Rear Aero: 3</t>
  </si>
  <si>
    <t>Sidepods: 3</t>
  </si>
  <si>
    <t>Rear Aero: 2</t>
  </si>
  <si>
    <t>Floor :1</t>
  </si>
  <si>
    <t>Rear Aero: 1</t>
  </si>
  <si>
    <t>Front Aero: 3</t>
  </si>
  <si>
    <t>Floor: 1</t>
  </si>
  <si>
    <t>Front Aero: 1</t>
  </si>
  <si>
    <t>Rear Susp: 1</t>
  </si>
  <si>
    <t>Front Susp: 2</t>
  </si>
  <si>
    <t>Hybrid: 1</t>
  </si>
  <si>
    <t>Engine: 2</t>
  </si>
  <si>
    <t>Hybrid: 3</t>
  </si>
  <si>
    <t>Engine: 3</t>
  </si>
  <si>
    <t>Hybrid: 2</t>
  </si>
  <si>
    <t>Score: 3</t>
  </si>
  <si>
    <t>Score: 1</t>
  </si>
  <si>
    <t>Score: 2</t>
  </si>
  <si>
    <t>Total Score</t>
  </si>
  <si>
    <t>Driver 4</t>
  </si>
  <si>
    <t>DNQ</t>
  </si>
  <si>
    <t>IMS</t>
  </si>
  <si>
    <t>Average</t>
  </si>
  <si>
    <t>#97</t>
  </si>
  <si>
    <t>#98</t>
  </si>
  <si>
    <t>#99</t>
  </si>
  <si>
    <t>Poles</t>
  </si>
  <si>
    <t>#47</t>
  </si>
  <si>
    <t>#100</t>
  </si>
  <si>
    <t>#101</t>
  </si>
  <si>
    <t>#102</t>
  </si>
  <si>
    <t>#90</t>
  </si>
  <si>
    <t>#91</t>
  </si>
  <si>
    <t>#92</t>
  </si>
  <si>
    <t>P31</t>
  </si>
  <si>
    <t>#1 Super Corby Racing</t>
  </si>
  <si>
    <t>#24 Super Corby Racing</t>
  </si>
  <si>
    <t>#27 Super Corby Racing</t>
  </si>
  <si>
    <t>#5 Super Corby Racing</t>
  </si>
  <si>
    <t>#80 Apex Motorsports</t>
  </si>
  <si>
    <t>#97 98-99 Racing</t>
  </si>
  <si>
    <t>#98 98-99 Racing</t>
  </si>
  <si>
    <t>#99 98-99 Racing</t>
  </si>
  <si>
    <t>#11 Centurion Engineering</t>
  </si>
  <si>
    <t>#12 Centurion Engineering</t>
  </si>
  <si>
    <t>#10 Centurion Engineering</t>
  </si>
  <si>
    <t>#90 Project D Racing</t>
  </si>
  <si>
    <t>#91 Project D Racing</t>
  </si>
  <si>
    <t>#92 Project D Racing</t>
  </si>
  <si>
    <t>#16 Sim Party Racing</t>
  </si>
  <si>
    <t>#23 Sim Party Racing</t>
  </si>
  <si>
    <t>#47 Sim Party Racing</t>
  </si>
  <si>
    <t>#18 Team Stellar</t>
  </si>
  <si>
    <t>#14 Team Stellar</t>
  </si>
  <si>
    <t>#100 Tactically Perfect Racing</t>
  </si>
  <si>
    <t>#101 Tactically Perfect Racing</t>
  </si>
  <si>
    <t>#102 Tactically Perfect Racing</t>
  </si>
  <si>
    <t>#69 Blue Flag Racing</t>
  </si>
  <si>
    <t>#4 Blue Flag Racing</t>
  </si>
  <si>
    <t>#20 Blue Flag Racing</t>
  </si>
  <si>
    <t>APR GP Racing</t>
  </si>
  <si>
    <t>#28 APR GP Racing</t>
  </si>
  <si>
    <t>#29 APR GP Racing</t>
  </si>
  <si>
    <t>#30 APR GP Racing</t>
  </si>
  <si>
    <t>TDS13</t>
  </si>
  <si>
    <t>E14</t>
  </si>
  <si>
    <t>Season Calendar but longer</t>
  </si>
  <si>
    <t>E15</t>
  </si>
  <si>
    <t>E16</t>
  </si>
  <si>
    <t>E17</t>
  </si>
  <si>
    <t>E18</t>
  </si>
  <si>
    <t>E19</t>
  </si>
  <si>
    <t>E20</t>
  </si>
  <si>
    <t>Motegi Oval</t>
  </si>
  <si>
    <t>Motegi RC</t>
  </si>
  <si>
    <t>Twin Ring Motegi Road Course</t>
  </si>
  <si>
    <t>Twin Ring Motegi Oval</t>
  </si>
  <si>
    <t>Estoril</t>
  </si>
  <si>
    <t>Portimao</t>
  </si>
  <si>
    <t>Portugal</t>
  </si>
  <si>
    <t>Algarve International Circuit</t>
  </si>
  <si>
    <t>Circuito do Estoril</t>
  </si>
  <si>
    <t>Mexico City</t>
  </si>
  <si>
    <t>Autodromo Hermanos Rodriguez</t>
  </si>
  <si>
    <t>Mexico</t>
  </si>
  <si>
    <t>Chinese Event</t>
  </si>
  <si>
    <t>Malaysian Event</t>
  </si>
  <si>
    <t>Portuguese Event</t>
  </si>
  <si>
    <t>Belgian Event</t>
  </si>
  <si>
    <t>European Event</t>
  </si>
  <si>
    <t>Mexican Event</t>
  </si>
  <si>
    <t>Indianapolis Event</t>
  </si>
  <si>
    <t>TDS13 Finale</t>
  </si>
  <si>
    <t>Texan Event</t>
  </si>
  <si>
    <t>Motegi Event</t>
  </si>
  <si>
    <t>Daytona International Speedway</t>
  </si>
  <si>
    <t>Daytona RC</t>
  </si>
  <si>
    <t>Rockingham RC</t>
  </si>
  <si>
    <t>Rockingham</t>
  </si>
  <si>
    <t>Rockingham Motor Speedway RC</t>
  </si>
  <si>
    <t>Rockingham Motor Speedway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</si>
</sst>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Rockwell"/>
      <family val="1"/>
    </font>
    <font>
      <sz val="11"/>
      <color theme="0"/>
      <name val="Rockwell"/>
      <family val="1"/>
    </font>
    <font>
      <sz val="11"/>
      <color rgb="FFFF0000"/>
      <name val="Rockwell"/>
      <family val="1"/>
    </font>
    <font>
      <sz val="11"/>
      <color rgb="FF0000FF"/>
      <name val="Rockwell"/>
      <family val="1"/>
    </font>
    <font>
      <sz val="11"/>
      <color rgb="FF0070C0"/>
      <name val="Rockwell"/>
      <family val="1"/>
    </font>
    <font>
      <sz val="11"/>
      <color theme="2" tint="-0.499984740745262"/>
      <name val="Rockwell"/>
      <family val="1"/>
    </font>
    <font>
      <sz val="11"/>
      <color theme="7"/>
      <name val="Rockwell"/>
      <family val="1"/>
    </font>
    <font>
      <sz val="11"/>
      <color rgb="FFFFFF00"/>
      <name val="Rockwell"/>
      <family val="1"/>
    </font>
    <font>
      <sz val="11"/>
      <color rgb="FF66FF33"/>
      <name val="Rockwell"/>
      <family val="1"/>
    </font>
    <font>
      <sz val="11"/>
      <color rgb="FF00B050"/>
      <name val="Rockwell"/>
      <family val="1"/>
    </font>
    <font>
      <sz val="11"/>
      <color theme="2"/>
      <name val="Rockwell"/>
      <family val="1"/>
    </font>
    <font>
      <sz val="11"/>
      <color rgb="FF92D050"/>
      <name val="Rockwell"/>
      <family val="1"/>
    </font>
    <font>
      <sz val="11"/>
      <color rgb="FFFFC000"/>
      <name val="Rockwell"/>
      <family val="1"/>
    </font>
    <font>
      <sz val="11"/>
      <color rgb="FFFF00FF"/>
      <name val="Rockwell"/>
      <family val="1"/>
    </font>
    <font>
      <b/>
      <sz val="11"/>
      <color theme="0"/>
      <name val="Rockwell"/>
      <family val="1"/>
    </font>
    <font>
      <strike/>
      <sz val="11"/>
      <color theme="0"/>
      <name val="Rockwell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B88F8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BE9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9CFF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</fills>
  <borders count="5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2" fillId="6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quotePrefix="1"/>
    <xf numFmtId="0" fontId="3" fillId="21" borderId="0" xfId="0" applyFont="1" applyFill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0" xfId="0" quotePrefix="1" applyFont="1" applyFill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21" borderId="18" xfId="0" applyFont="1" applyFill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21" borderId="21" xfId="0" applyFont="1" applyFill="1" applyBorder="1" applyAlignment="1">
      <alignment horizontal="center" vertical="center"/>
    </xf>
    <xf numFmtId="0" fontId="3" fillId="21" borderId="25" xfId="0" applyFont="1" applyFill="1" applyBorder="1" applyAlignment="1">
      <alignment horizontal="center" vertical="center"/>
    </xf>
    <xf numFmtId="0" fontId="3" fillId="21" borderId="26" xfId="0" applyFont="1" applyFill="1" applyBorder="1" applyAlignment="1">
      <alignment horizontal="center" vertical="center"/>
    </xf>
    <xf numFmtId="0" fontId="3" fillId="21" borderId="2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1" borderId="30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21" borderId="34" xfId="0" applyFont="1" applyFill="1" applyBorder="1" applyAlignment="1">
      <alignment horizontal="center" vertical="center"/>
    </xf>
    <xf numFmtId="0" fontId="3" fillId="21" borderId="35" xfId="0" applyFont="1" applyFill="1" applyBorder="1" applyAlignment="1">
      <alignment horizontal="center" vertical="center"/>
    </xf>
    <xf numFmtId="0" fontId="3" fillId="21" borderId="36" xfId="0" applyFont="1" applyFill="1" applyBorder="1" applyAlignment="1">
      <alignment horizontal="center" vertical="center"/>
    </xf>
    <xf numFmtId="0" fontId="3" fillId="21" borderId="37" xfId="0" applyFont="1" applyFill="1" applyBorder="1" applyAlignment="1">
      <alignment horizontal="center" vertical="center"/>
    </xf>
    <xf numFmtId="0" fontId="3" fillId="21" borderId="38" xfId="0" applyFont="1" applyFill="1" applyBorder="1" applyAlignment="1">
      <alignment horizontal="center" vertical="center"/>
    </xf>
    <xf numFmtId="0" fontId="3" fillId="21" borderId="39" xfId="0" applyFont="1" applyFill="1" applyBorder="1" applyAlignment="1">
      <alignment horizontal="center" vertical="center"/>
    </xf>
    <xf numFmtId="0" fontId="3" fillId="21" borderId="40" xfId="0" applyFont="1" applyFill="1" applyBorder="1" applyAlignment="1">
      <alignment horizontal="center" vertical="center"/>
    </xf>
    <xf numFmtId="0" fontId="3" fillId="21" borderId="41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12" fillId="20" borderId="7" xfId="0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17" fillId="21" borderId="8" xfId="0" applyFont="1" applyFill="1" applyBorder="1" applyAlignment="1">
      <alignment horizontal="center" vertical="center"/>
    </xf>
    <xf numFmtId="0" fontId="17" fillId="21" borderId="9" xfId="0" applyFont="1" applyFill="1" applyBorder="1" applyAlignment="1">
      <alignment horizontal="center" vertical="center"/>
    </xf>
    <xf numFmtId="0" fontId="3" fillId="21" borderId="43" xfId="0" applyFont="1" applyFill="1" applyBorder="1" applyAlignment="1">
      <alignment horizontal="center" vertical="center"/>
    </xf>
    <xf numFmtId="0" fontId="3" fillId="21" borderId="44" xfId="0" applyFont="1" applyFill="1" applyBorder="1" applyAlignment="1">
      <alignment horizontal="center" vertical="center"/>
    </xf>
    <xf numFmtId="0" fontId="3" fillId="21" borderId="29" xfId="0" applyFont="1" applyFill="1" applyBorder="1" applyAlignment="1">
      <alignment horizontal="center" vertical="center"/>
    </xf>
    <xf numFmtId="0" fontId="17" fillId="21" borderId="21" xfId="0" applyFont="1" applyFill="1" applyBorder="1" applyAlignment="1">
      <alignment horizontal="center" vertical="center"/>
    </xf>
    <xf numFmtId="0" fontId="17" fillId="21" borderId="44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16" fillId="21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3" fillId="21" borderId="46" xfId="0" applyFont="1" applyFill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0" fontId="3" fillId="22" borderId="7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21" borderId="4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" fillId="21" borderId="21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3" fillId="21" borderId="47" xfId="0" applyFont="1" applyFill="1" applyBorder="1" applyAlignment="1">
      <alignment horizontal="center" vertical="center"/>
    </xf>
    <xf numFmtId="0" fontId="3" fillId="22" borderId="39" xfId="0" applyFont="1" applyFill="1" applyBorder="1" applyAlignment="1">
      <alignment horizontal="center" vertical="center"/>
    </xf>
    <xf numFmtId="0" fontId="3" fillId="16" borderId="39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 vertical="center"/>
    </xf>
    <xf numFmtId="0" fontId="2" fillId="21" borderId="12" xfId="0" applyFont="1" applyFill="1" applyBorder="1" applyAlignment="1">
      <alignment horizontal="center" vertical="center"/>
    </xf>
    <xf numFmtId="0" fontId="2" fillId="21" borderId="14" xfId="0" applyFont="1" applyFill="1" applyBorder="1" applyAlignment="1">
      <alignment horizontal="center" vertical="center"/>
    </xf>
    <xf numFmtId="0" fontId="2" fillId="21" borderId="17" xfId="0" applyFont="1" applyFill="1" applyBorder="1" applyAlignment="1">
      <alignment horizontal="center" vertical="center"/>
    </xf>
    <xf numFmtId="0" fontId="2" fillId="21" borderId="22" xfId="0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  <xf numFmtId="0" fontId="2" fillId="21" borderId="53" xfId="0" applyFont="1" applyFill="1" applyBorder="1" applyAlignment="1">
      <alignment horizontal="center" vertical="center"/>
    </xf>
    <xf numFmtId="0" fontId="2" fillId="21" borderId="48" xfId="0" applyFont="1" applyFill="1" applyBorder="1" applyAlignment="1">
      <alignment horizontal="center" vertical="center"/>
    </xf>
    <xf numFmtId="0" fontId="2" fillId="21" borderId="26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3" fillId="21" borderId="32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8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2" fillId="21" borderId="54" xfId="0" applyFont="1" applyFill="1" applyBorder="1" applyAlignment="1">
      <alignment horizontal="center" vertical="center"/>
    </xf>
    <xf numFmtId="0" fontId="2" fillId="21" borderId="55" xfId="0" applyFont="1" applyFill="1" applyBorder="1" applyAlignment="1">
      <alignment horizontal="center" vertical="center"/>
    </xf>
    <xf numFmtId="0" fontId="2" fillId="21" borderId="41" xfId="0" applyFont="1" applyFill="1" applyBorder="1" applyAlignment="1">
      <alignment horizontal="center" vertical="center"/>
    </xf>
    <xf numFmtId="0" fontId="2" fillId="21" borderId="57" xfId="0" applyFont="1" applyFill="1" applyBorder="1" applyAlignment="1">
      <alignment horizontal="center" vertical="center"/>
    </xf>
    <xf numFmtId="0" fontId="2" fillId="21" borderId="58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16" fillId="21" borderId="4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3" fillId="21" borderId="11" xfId="0" applyFont="1" applyFill="1" applyBorder="1" applyAlignment="1">
      <alignment horizontal="center" vertical="center" wrapText="1"/>
    </xf>
    <xf numFmtId="0" fontId="3" fillId="21" borderId="18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21" borderId="45" xfId="0" applyFont="1" applyFill="1" applyBorder="1" applyAlignment="1">
      <alignment horizontal="center" vertical="center"/>
    </xf>
    <xf numFmtId="0" fontId="3" fillId="21" borderId="31" xfId="0" applyFont="1" applyFill="1" applyBorder="1" applyAlignment="1">
      <alignment horizontal="center" vertical="center"/>
    </xf>
    <xf numFmtId="0" fontId="3" fillId="21" borderId="42" xfId="0" applyFont="1" applyFill="1" applyBorder="1" applyAlignment="1">
      <alignment horizontal="center" vertical="center"/>
    </xf>
    <xf numFmtId="0" fontId="3" fillId="25" borderId="45" xfId="0" applyFont="1" applyFill="1" applyBorder="1" applyAlignment="1">
      <alignment horizontal="center" vertical="center"/>
    </xf>
    <xf numFmtId="0" fontId="3" fillId="25" borderId="31" xfId="0" applyFont="1" applyFill="1" applyBorder="1" applyAlignment="1">
      <alignment horizontal="center" vertical="center"/>
    </xf>
    <xf numFmtId="0" fontId="3" fillId="25" borderId="42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12" fillId="20" borderId="45" xfId="0" applyFont="1" applyFill="1" applyBorder="1" applyAlignment="1">
      <alignment horizontal="center" vertical="center"/>
    </xf>
    <xf numFmtId="0" fontId="12" fillId="20" borderId="31" xfId="0" applyFont="1" applyFill="1" applyBorder="1" applyAlignment="1">
      <alignment horizontal="center" vertical="center"/>
    </xf>
    <xf numFmtId="0" fontId="12" fillId="20" borderId="42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2" fillId="19" borderId="45" xfId="0" applyFont="1" applyFill="1" applyBorder="1" applyAlignment="1">
      <alignment horizontal="center" vertical="center"/>
    </xf>
    <xf numFmtId="0" fontId="2" fillId="19" borderId="31" xfId="0" applyFont="1" applyFill="1" applyBorder="1" applyAlignment="1">
      <alignment horizontal="center" vertical="center"/>
    </xf>
    <xf numFmtId="0" fontId="2" fillId="19" borderId="42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 wrapText="1"/>
    </xf>
    <xf numFmtId="0" fontId="3" fillId="16" borderId="45" xfId="0" applyFont="1" applyFill="1" applyBorder="1" applyAlignment="1">
      <alignment horizontal="center" vertical="center"/>
    </xf>
    <xf numFmtId="0" fontId="3" fillId="16" borderId="31" xfId="0" applyFont="1" applyFill="1" applyBorder="1" applyAlignment="1">
      <alignment horizontal="center" vertical="center"/>
    </xf>
    <xf numFmtId="0" fontId="3" fillId="16" borderId="42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3" fillId="17" borderId="45" xfId="0" applyFont="1" applyFill="1" applyBorder="1" applyAlignment="1">
      <alignment horizontal="center" vertical="center"/>
    </xf>
    <xf numFmtId="0" fontId="3" fillId="17" borderId="31" xfId="0" applyFont="1" applyFill="1" applyBorder="1" applyAlignment="1">
      <alignment horizontal="center" vertical="center"/>
    </xf>
    <xf numFmtId="0" fontId="3" fillId="17" borderId="42" xfId="0" applyFont="1" applyFill="1" applyBorder="1" applyAlignment="1">
      <alignment horizontal="center" vertical="center"/>
    </xf>
    <xf numFmtId="0" fontId="2" fillId="21" borderId="45" xfId="0" applyFont="1" applyFill="1" applyBorder="1" applyAlignment="1">
      <alignment horizontal="center" vertical="center"/>
    </xf>
    <xf numFmtId="0" fontId="2" fillId="21" borderId="31" xfId="0" applyFont="1" applyFill="1" applyBorder="1" applyAlignment="1">
      <alignment horizontal="center" vertical="center"/>
    </xf>
    <xf numFmtId="0" fontId="2" fillId="21" borderId="42" xfId="0" applyFont="1" applyFill="1" applyBorder="1" applyAlignment="1">
      <alignment horizontal="center" vertical="center"/>
    </xf>
    <xf numFmtId="0" fontId="3" fillId="22" borderId="45" xfId="0" applyFont="1" applyFill="1" applyBorder="1" applyAlignment="1">
      <alignment horizontal="center" vertical="center"/>
    </xf>
    <xf numFmtId="0" fontId="3" fillId="22" borderId="31" xfId="0" applyFont="1" applyFill="1" applyBorder="1" applyAlignment="1">
      <alignment horizontal="center" vertical="center"/>
    </xf>
    <xf numFmtId="0" fontId="3" fillId="22" borderId="42" xfId="0" applyFont="1" applyFill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27" xfId="0" applyFont="1" applyFill="1" applyBorder="1" applyAlignment="1">
      <alignment horizontal="center" vertical="center"/>
    </xf>
    <xf numFmtId="0" fontId="3" fillId="21" borderId="56" xfId="0" applyFont="1" applyFill="1" applyBorder="1" applyAlignment="1">
      <alignment horizontal="center" vertical="center"/>
    </xf>
    <xf numFmtId="0" fontId="3" fillId="21" borderId="24" xfId="0" applyFont="1" applyFill="1" applyBorder="1" applyAlignment="1">
      <alignment horizontal="center" vertical="center"/>
    </xf>
    <xf numFmtId="0" fontId="3" fillId="21" borderId="32" xfId="0" applyFont="1" applyFill="1" applyBorder="1" applyAlignment="1">
      <alignment horizontal="center" vertical="center"/>
    </xf>
    <xf numFmtId="0" fontId="3" fillId="21" borderId="3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 wrapText="1"/>
    </xf>
    <xf numFmtId="0" fontId="3" fillId="21" borderId="3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21" borderId="28" xfId="0" applyFont="1" applyFill="1" applyBorder="1" applyAlignment="1">
      <alignment horizontal="center" vertical="center"/>
    </xf>
    <xf numFmtId="0" fontId="3" fillId="21" borderId="33" xfId="0" applyFont="1" applyFill="1" applyBorder="1" applyAlignment="1">
      <alignment horizontal="center" vertical="center"/>
    </xf>
    <xf numFmtId="0" fontId="3" fillId="21" borderId="34" xfId="0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0" fontId="3" fillId="21" borderId="49" xfId="0" applyFont="1" applyFill="1" applyBorder="1" applyAlignment="1">
      <alignment horizontal="center" vertical="center"/>
    </xf>
    <xf numFmtId="0" fontId="3" fillId="21" borderId="50" xfId="0" applyFont="1" applyFill="1" applyBorder="1" applyAlignment="1">
      <alignment horizontal="center" vertical="center"/>
    </xf>
    <xf numFmtId="0" fontId="3" fillId="21" borderId="51" xfId="0" applyFont="1" applyFill="1" applyBorder="1" applyAlignment="1">
      <alignment horizontal="center" vertical="center"/>
    </xf>
    <xf numFmtId="0" fontId="3" fillId="21" borderId="52" xfId="0" applyFont="1" applyFill="1" applyBorder="1" applyAlignment="1">
      <alignment horizontal="center" vertical="center"/>
    </xf>
    <xf numFmtId="0" fontId="3" fillId="21" borderId="36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14" borderId="45" xfId="0" applyFont="1" applyFill="1" applyBorder="1" applyAlignment="1">
      <alignment horizontal="center" vertical="center"/>
    </xf>
    <xf numFmtId="0" fontId="3" fillId="14" borderId="31" xfId="0" applyFont="1" applyFill="1" applyBorder="1" applyAlignment="1">
      <alignment horizontal="center" vertical="center"/>
    </xf>
    <xf numFmtId="0" fontId="3" fillId="14" borderId="42" xfId="0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/>
    </xf>
  </cellXfs>
  <cellStyles count="1">
    <cellStyle name="Normal" xfId="0" builtinId="0"/>
  </cellStyles>
  <dxfs count="276"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rgb="FF66FF33"/>
      </font>
      <fill>
        <patternFill>
          <bgColor theme="1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1"/>
      </font>
      <fill>
        <patternFill>
          <bgColor rgb="FFC7BE97"/>
        </patternFill>
      </fill>
    </dxf>
    <dxf>
      <font>
        <color rgb="FF66FF33"/>
      </font>
      <fill>
        <patternFill>
          <bgColor theme="1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0"/>
      </font>
      <fill>
        <patternFill>
          <bgColor rgb="FF89CFF0"/>
        </patternFill>
      </fill>
    </dxf>
    <dxf>
      <font>
        <color theme="1"/>
      </font>
      <fill>
        <patternFill>
          <bgColor rgb="FFC7BE97"/>
        </patternFill>
      </fill>
    </dxf>
    <dxf>
      <font>
        <color rgb="FF66FF33"/>
      </font>
      <fill>
        <patternFill>
          <bgColor theme="1"/>
        </patternFill>
      </fill>
    </dxf>
    <dxf>
      <font>
        <color theme="0"/>
      </font>
      <fill>
        <patternFill>
          <bgColor rgb="FF0000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rgb="FFFF00FF"/>
      </font>
      <fill>
        <patternFill>
          <bgColor theme="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0"/>
      </font>
      <fill>
        <patternFill>
          <bgColor rgb="FF8B88F8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theme="2"/>
      </font>
      <fill>
        <patternFill>
          <bgColor theme="5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rgb="FFFF000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D147AA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D147AA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rgb="FFD147AA"/>
        </patternFill>
      </fill>
    </dxf>
    <dxf>
      <font>
        <color theme="0"/>
      </font>
      <fill>
        <patternFill>
          <bgColor theme="1"/>
        </patternFill>
      </fill>
    </dxf>
    <dxf>
      <font>
        <color theme="1" tint="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D147AA"/>
        </patternFill>
      </fill>
    </dxf>
    <dxf>
      <font>
        <color theme="1"/>
      </font>
      <fill>
        <patternFill>
          <bgColor rgb="FF00B050"/>
        </patternFill>
      </fill>
    </dxf>
    <dxf>
      <font>
        <color rgb="FFFF0000"/>
      </font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  <fill>
        <patternFill>
          <bgColor theme="0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FF0000"/>
      </font>
    </dxf>
    <dxf>
      <font>
        <color rgb="FFFFC000"/>
      </font>
    </dxf>
    <dxf>
      <font>
        <color rgb="FF00B050"/>
      </font>
    </dxf>
  </dxfs>
  <tableStyles count="0" defaultTableStyle="TableStyleMedium2" defaultPivotStyle="PivotStyleLight16"/>
  <colors>
    <mruColors>
      <color rgb="FF66FF33"/>
      <color rgb="FFD147AA"/>
      <color rgb="FF0000CC"/>
      <color rgb="FF009900"/>
      <color rgb="FFFF0000"/>
      <color rgb="FFFF7C80"/>
      <color rgb="FF0000FF"/>
      <color rgb="FF89CFF0"/>
      <color rgb="FFFF00FF"/>
      <color rgb="FFC7BE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EBBE-BC02-4200-9CDD-992705228626}">
  <sheetPr codeName="Sheet1"/>
  <dimension ref="B2:U43"/>
  <sheetViews>
    <sheetView workbookViewId="0">
      <selection activeCell="F9" sqref="F9"/>
    </sheetView>
  </sheetViews>
  <sheetFormatPr defaultRowHeight="14.4" x14ac:dyDescent="0.3"/>
  <sheetData>
    <row r="2" spans="2:21" x14ac:dyDescent="0.3">
      <c r="B2" t="s">
        <v>449</v>
      </c>
      <c r="C2">
        <v>2</v>
      </c>
    </row>
    <row r="3" spans="2:21" x14ac:dyDescent="0.3">
      <c r="B3" t="s">
        <v>450</v>
      </c>
      <c r="C3">
        <v>3</v>
      </c>
      <c r="E3" t="s">
        <v>455</v>
      </c>
      <c r="G3" t="s">
        <v>508</v>
      </c>
      <c r="H3">
        <f>C8 - 50</f>
        <v>48</v>
      </c>
    </row>
    <row r="4" spans="2:21" x14ac:dyDescent="0.3">
      <c r="B4" t="s">
        <v>451</v>
      </c>
      <c r="C4">
        <v>2</v>
      </c>
      <c r="E4" t="s">
        <v>457</v>
      </c>
      <c r="G4" t="s">
        <v>509</v>
      </c>
      <c r="H4">
        <f>C8 - 35</f>
        <v>63</v>
      </c>
    </row>
    <row r="5" spans="2:21" x14ac:dyDescent="0.3">
      <c r="B5" t="s">
        <v>452</v>
      </c>
      <c r="C5">
        <v>2</v>
      </c>
      <c r="E5" t="s">
        <v>456</v>
      </c>
    </row>
    <row r="6" spans="2:21" x14ac:dyDescent="0.3">
      <c r="B6" t="s">
        <v>453</v>
      </c>
      <c r="C6">
        <v>2</v>
      </c>
    </row>
    <row r="7" spans="2:21" x14ac:dyDescent="0.3">
      <c r="B7" t="s">
        <v>454</v>
      </c>
      <c r="C7">
        <v>28</v>
      </c>
    </row>
    <row r="8" spans="2:21" x14ac:dyDescent="0.3">
      <c r="B8" t="s">
        <v>500</v>
      </c>
      <c r="C8">
        <v>98</v>
      </c>
      <c r="E8" t="s">
        <v>507</v>
      </c>
      <c r="F8">
        <v>4</v>
      </c>
    </row>
    <row r="10" spans="2:21" x14ac:dyDescent="0.3">
      <c r="B10" t="s">
        <v>490</v>
      </c>
      <c r="D10" t="s">
        <v>491</v>
      </c>
      <c r="E10" t="s">
        <v>492</v>
      </c>
      <c r="F10" t="s">
        <v>493</v>
      </c>
      <c r="G10" t="s">
        <v>501</v>
      </c>
      <c r="I10" t="s">
        <v>494</v>
      </c>
      <c r="J10" t="s">
        <v>495</v>
      </c>
      <c r="K10" t="s">
        <v>496</v>
      </c>
      <c r="L10" t="s">
        <v>497</v>
      </c>
      <c r="N10" t="s">
        <v>498</v>
      </c>
      <c r="O10" t="s">
        <v>499</v>
      </c>
      <c r="Q10" s="3" t="s">
        <v>502</v>
      </c>
      <c r="R10" s="3" t="s">
        <v>503</v>
      </c>
      <c r="S10" s="3" t="s">
        <v>504</v>
      </c>
      <c r="T10" s="3" t="s">
        <v>505</v>
      </c>
      <c r="U10" s="3" t="s">
        <v>506</v>
      </c>
    </row>
    <row r="12" spans="2:21" x14ac:dyDescent="0.3">
      <c r="B12" t="s">
        <v>458</v>
      </c>
      <c r="D12">
        <f ca="1">100 - E12</f>
        <v>100</v>
      </c>
      <c r="E12">
        <f ca="1">FLOOR((G12 - F12) / 10, 1) * K12</f>
        <v>0</v>
      </c>
      <c r="F12">
        <f ca="1">G12 - FLOOR(RANDBETWEEN(N12, O12) / F8, 1)</f>
        <v>97</v>
      </c>
      <c r="G12">
        <v>100</v>
      </c>
      <c r="I12">
        <f ca="1">G12 - E12</f>
        <v>100</v>
      </c>
      <c r="J12">
        <f ca="1">FLOOR(I12 / 10, 1)</f>
        <v>10</v>
      </c>
      <c r="K12">
        <f>C6</f>
        <v>2</v>
      </c>
      <c r="L12">
        <f ca="1">J12 * K12</f>
        <v>20</v>
      </c>
      <c r="N12">
        <f>SUM(C2:C6)</f>
        <v>11</v>
      </c>
      <c r="O12">
        <f>N12 + (3 * C6)</f>
        <v>17</v>
      </c>
      <c r="Q12">
        <f ca="1">FLOOR(RANDBETWEEN(N12, O12), 1)</f>
        <v>15</v>
      </c>
      <c r="R12">
        <f ca="1">FLOOR(RANDBETWEEN(N12, O12) / 1.5, 1)</f>
        <v>9</v>
      </c>
      <c r="S12">
        <f ca="1">FLOOR(RANDBETWEEN(N12, O12) / 2, 1)</f>
        <v>5</v>
      </c>
      <c r="T12">
        <f ca="1">FLOOR(RANDBETWEEN(N12, O12) / 3, 1)</f>
        <v>5</v>
      </c>
      <c r="U12">
        <f ca="1">FLOOR(RANDBETWEEN(N12, O12) / 4, 1)</f>
        <v>2</v>
      </c>
    </row>
    <row r="13" spans="2:21" x14ac:dyDescent="0.3">
      <c r="B13" t="s">
        <v>459</v>
      </c>
      <c r="D13">
        <f t="shared" ref="D13:D43" ca="1" si="0">100 - E13</f>
        <v>100</v>
      </c>
      <c r="E13">
        <f t="shared" ref="E13:E43" ca="1" si="1">FLOOR((G13 - F13) / 10, 1) * K13</f>
        <v>0</v>
      </c>
      <c r="F13">
        <f ca="1">F12 - FLOOR(RANDBETWEEN(N13, O13) / F8, 1)</f>
        <v>94</v>
      </c>
      <c r="G13">
        <f>G12</f>
        <v>100</v>
      </c>
      <c r="I13">
        <f t="shared" ref="I13:I43" ca="1" si="2">G13 - E13</f>
        <v>100</v>
      </c>
      <c r="J13">
        <f t="shared" ref="J13:J43" ca="1" si="3">FLOOR(I13 / 10, 1)</f>
        <v>10</v>
      </c>
      <c r="K13">
        <f>C6</f>
        <v>2</v>
      </c>
      <c r="L13">
        <f t="shared" ref="L13:L43" ca="1" si="4">J13 * K13</f>
        <v>20</v>
      </c>
      <c r="N13">
        <f t="shared" ref="N13:N43" si="5">N12</f>
        <v>11</v>
      </c>
      <c r="O13">
        <f t="shared" ref="O13:O43" si="6">O12</f>
        <v>17</v>
      </c>
      <c r="Q13">
        <f t="shared" ref="Q13:Q43" ca="1" si="7">FLOOR(RANDBETWEEN(N13, O13), 1)</f>
        <v>12</v>
      </c>
      <c r="R13">
        <f t="shared" ref="R13:R43" ca="1" si="8">FLOOR(RANDBETWEEN(N13, O13) / 1.5, 1)</f>
        <v>8</v>
      </c>
      <c r="S13">
        <f t="shared" ref="S13:S43" ca="1" si="9">FLOOR(RANDBETWEEN(N13, O13) / 2, 1)</f>
        <v>8</v>
      </c>
      <c r="T13">
        <f t="shared" ref="T13:T43" ca="1" si="10">FLOOR(RANDBETWEEN(N13, O13) / 3, 1)</f>
        <v>5</v>
      </c>
      <c r="U13">
        <f t="shared" ref="U13:U43" ca="1" si="11">FLOOR(RANDBETWEEN(N13, O13) / 4, 1)</f>
        <v>3</v>
      </c>
    </row>
    <row r="14" spans="2:21" x14ac:dyDescent="0.3">
      <c r="B14" t="s">
        <v>460</v>
      </c>
      <c r="D14">
        <f t="shared" ca="1" si="0"/>
        <v>100</v>
      </c>
      <c r="E14">
        <f t="shared" ca="1" si="1"/>
        <v>0</v>
      </c>
      <c r="F14">
        <f ca="1">F13 - FLOOR(RANDBETWEEN(N14, O14) / F8, 1)</f>
        <v>91</v>
      </c>
      <c r="G14">
        <f t="shared" ref="G14:G43" si="12">G13</f>
        <v>100</v>
      </c>
      <c r="I14">
        <f t="shared" ca="1" si="2"/>
        <v>100</v>
      </c>
      <c r="J14">
        <f t="shared" ca="1" si="3"/>
        <v>10</v>
      </c>
      <c r="K14">
        <f>C6</f>
        <v>2</v>
      </c>
      <c r="L14">
        <f t="shared" ca="1" si="4"/>
        <v>20</v>
      </c>
      <c r="N14">
        <f t="shared" si="5"/>
        <v>11</v>
      </c>
      <c r="O14">
        <f t="shared" si="6"/>
        <v>17</v>
      </c>
      <c r="Q14">
        <f t="shared" ca="1" si="7"/>
        <v>14</v>
      </c>
      <c r="R14">
        <f t="shared" ca="1" si="8"/>
        <v>8</v>
      </c>
      <c r="S14">
        <f t="shared" ca="1" si="9"/>
        <v>6</v>
      </c>
      <c r="T14">
        <f t="shared" ca="1" si="10"/>
        <v>5</v>
      </c>
      <c r="U14">
        <f t="shared" ca="1" si="11"/>
        <v>4</v>
      </c>
    </row>
    <row r="15" spans="2:21" x14ac:dyDescent="0.3">
      <c r="B15" t="s">
        <v>461</v>
      </c>
      <c r="D15">
        <f t="shared" ca="1" si="0"/>
        <v>98</v>
      </c>
      <c r="E15">
        <f t="shared" ca="1" si="1"/>
        <v>2</v>
      </c>
      <c r="F15">
        <f ca="1">F14 - FLOOR(RANDBETWEEN(N15, O15) / F8, 1)</f>
        <v>88</v>
      </c>
      <c r="G15">
        <f t="shared" si="12"/>
        <v>100</v>
      </c>
      <c r="I15">
        <f t="shared" ca="1" si="2"/>
        <v>98</v>
      </c>
      <c r="J15">
        <f t="shared" ca="1" si="3"/>
        <v>9</v>
      </c>
      <c r="K15">
        <f>C6</f>
        <v>2</v>
      </c>
      <c r="L15">
        <f t="shared" ca="1" si="4"/>
        <v>18</v>
      </c>
      <c r="N15">
        <f t="shared" si="5"/>
        <v>11</v>
      </c>
      <c r="O15">
        <f t="shared" si="6"/>
        <v>17</v>
      </c>
      <c r="Q15">
        <f t="shared" ca="1" si="7"/>
        <v>16</v>
      </c>
      <c r="R15">
        <f t="shared" ca="1" si="8"/>
        <v>11</v>
      </c>
      <c r="S15">
        <f t="shared" ca="1" si="9"/>
        <v>5</v>
      </c>
      <c r="T15">
        <f t="shared" ca="1" si="10"/>
        <v>5</v>
      </c>
      <c r="U15">
        <f t="shared" ca="1" si="11"/>
        <v>2</v>
      </c>
    </row>
    <row r="16" spans="2:21" x14ac:dyDescent="0.3">
      <c r="B16" t="s">
        <v>462</v>
      </c>
      <c r="D16">
        <f t="shared" ca="1" si="0"/>
        <v>98</v>
      </c>
      <c r="E16">
        <f t="shared" ca="1" si="1"/>
        <v>2</v>
      </c>
      <c r="F16">
        <f ca="1">F15 - FLOOR(RANDBETWEEN(N16, O16) / F8, 1)</f>
        <v>85</v>
      </c>
      <c r="G16">
        <f t="shared" si="12"/>
        <v>100</v>
      </c>
      <c r="I16">
        <f t="shared" ca="1" si="2"/>
        <v>98</v>
      </c>
      <c r="J16">
        <f t="shared" ca="1" si="3"/>
        <v>9</v>
      </c>
      <c r="K16">
        <f>C6</f>
        <v>2</v>
      </c>
      <c r="L16">
        <f t="shared" ca="1" si="4"/>
        <v>18</v>
      </c>
      <c r="N16">
        <f t="shared" si="5"/>
        <v>11</v>
      </c>
      <c r="O16">
        <f t="shared" si="6"/>
        <v>17</v>
      </c>
      <c r="Q16">
        <f t="shared" ca="1" si="7"/>
        <v>11</v>
      </c>
      <c r="R16">
        <f t="shared" ca="1" si="8"/>
        <v>8</v>
      </c>
      <c r="S16">
        <f t="shared" ca="1" si="9"/>
        <v>7</v>
      </c>
      <c r="T16">
        <f t="shared" ca="1" si="10"/>
        <v>4</v>
      </c>
      <c r="U16">
        <f t="shared" ca="1" si="11"/>
        <v>4</v>
      </c>
    </row>
    <row r="17" spans="2:21" x14ac:dyDescent="0.3">
      <c r="B17" t="s">
        <v>463</v>
      </c>
      <c r="D17">
        <f t="shared" ca="1" si="0"/>
        <v>98</v>
      </c>
      <c r="E17">
        <f t="shared" ca="1" si="1"/>
        <v>2</v>
      </c>
      <c r="F17">
        <f ca="1">F16 - FLOOR(RANDBETWEEN(N17, O17) / F8, 1)</f>
        <v>82</v>
      </c>
      <c r="G17">
        <f t="shared" si="12"/>
        <v>100</v>
      </c>
      <c r="I17">
        <f t="shared" ca="1" si="2"/>
        <v>98</v>
      </c>
      <c r="J17">
        <f t="shared" ca="1" si="3"/>
        <v>9</v>
      </c>
      <c r="K17">
        <f>C6</f>
        <v>2</v>
      </c>
      <c r="L17">
        <f t="shared" ca="1" si="4"/>
        <v>18</v>
      </c>
      <c r="N17">
        <f t="shared" si="5"/>
        <v>11</v>
      </c>
      <c r="O17">
        <f t="shared" si="6"/>
        <v>17</v>
      </c>
      <c r="Q17">
        <f t="shared" ca="1" si="7"/>
        <v>14</v>
      </c>
      <c r="R17">
        <f t="shared" ca="1" si="8"/>
        <v>7</v>
      </c>
      <c r="S17">
        <f t="shared" ca="1" si="9"/>
        <v>8</v>
      </c>
      <c r="T17">
        <f t="shared" ca="1" si="10"/>
        <v>5</v>
      </c>
      <c r="U17">
        <f t="shared" ca="1" si="11"/>
        <v>4</v>
      </c>
    </row>
    <row r="18" spans="2:21" x14ac:dyDescent="0.3">
      <c r="B18" t="s">
        <v>464</v>
      </c>
      <c r="D18">
        <f t="shared" ca="1" si="0"/>
        <v>96</v>
      </c>
      <c r="E18">
        <f t="shared" ca="1" si="1"/>
        <v>4</v>
      </c>
      <c r="F18">
        <f ca="1">F17 - FLOOR(RANDBETWEEN(N18, O18) / F8, 1)</f>
        <v>79</v>
      </c>
      <c r="G18">
        <f t="shared" si="12"/>
        <v>100</v>
      </c>
      <c r="I18">
        <f t="shared" ca="1" si="2"/>
        <v>96</v>
      </c>
      <c r="J18">
        <f t="shared" ca="1" si="3"/>
        <v>9</v>
      </c>
      <c r="K18">
        <f>C6</f>
        <v>2</v>
      </c>
      <c r="L18">
        <f t="shared" ca="1" si="4"/>
        <v>18</v>
      </c>
      <c r="N18">
        <f t="shared" si="5"/>
        <v>11</v>
      </c>
      <c r="O18">
        <f t="shared" si="6"/>
        <v>17</v>
      </c>
      <c r="Q18">
        <f t="shared" ca="1" si="7"/>
        <v>16</v>
      </c>
      <c r="R18">
        <f t="shared" ca="1" si="8"/>
        <v>8</v>
      </c>
      <c r="S18">
        <f t="shared" ca="1" si="9"/>
        <v>5</v>
      </c>
      <c r="T18">
        <f t="shared" ca="1" si="10"/>
        <v>4</v>
      </c>
      <c r="U18">
        <f t="shared" ca="1" si="11"/>
        <v>3</v>
      </c>
    </row>
    <row r="19" spans="2:21" x14ac:dyDescent="0.3">
      <c r="B19" t="s">
        <v>465</v>
      </c>
      <c r="D19">
        <f t="shared" ca="1" si="0"/>
        <v>96</v>
      </c>
      <c r="E19">
        <f t="shared" ca="1" si="1"/>
        <v>4</v>
      </c>
      <c r="F19">
        <f ca="1">F18 - FLOOR(RANDBETWEEN(N19, O19) / F8, 1)</f>
        <v>75</v>
      </c>
      <c r="G19">
        <f t="shared" si="12"/>
        <v>100</v>
      </c>
      <c r="I19">
        <f t="shared" ca="1" si="2"/>
        <v>96</v>
      </c>
      <c r="J19">
        <f t="shared" ca="1" si="3"/>
        <v>9</v>
      </c>
      <c r="K19">
        <f>C6</f>
        <v>2</v>
      </c>
      <c r="L19">
        <f t="shared" ca="1" si="4"/>
        <v>18</v>
      </c>
      <c r="N19">
        <f t="shared" si="5"/>
        <v>11</v>
      </c>
      <c r="O19">
        <f t="shared" si="6"/>
        <v>17</v>
      </c>
      <c r="Q19">
        <f t="shared" ca="1" si="7"/>
        <v>14</v>
      </c>
      <c r="R19">
        <f t="shared" ca="1" si="8"/>
        <v>10</v>
      </c>
      <c r="S19">
        <f t="shared" ca="1" si="9"/>
        <v>7</v>
      </c>
      <c r="T19">
        <f t="shared" ca="1" si="10"/>
        <v>5</v>
      </c>
      <c r="U19">
        <f t="shared" ca="1" si="11"/>
        <v>3</v>
      </c>
    </row>
    <row r="20" spans="2:21" x14ac:dyDescent="0.3">
      <c r="B20" t="s">
        <v>466</v>
      </c>
      <c r="D20">
        <f t="shared" ca="1" si="0"/>
        <v>96</v>
      </c>
      <c r="E20">
        <f t="shared" ca="1" si="1"/>
        <v>4</v>
      </c>
      <c r="F20">
        <f ca="1">F19 - FLOOR(RANDBETWEEN(N20, O20) / F8, 1)</f>
        <v>72</v>
      </c>
      <c r="G20">
        <f t="shared" si="12"/>
        <v>100</v>
      </c>
      <c r="I20">
        <f t="shared" ca="1" si="2"/>
        <v>96</v>
      </c>
      <c r="J20">
        <f t="shared" ca="1" si="3"/>
        <v>9</v>
      </c>
      <c r="K20">
        <f>C6</f>
        <v>2</v>
      </c>
      <c r="L20">
        <f t="shared" ca="1" si="4"/>
        <v>18</v>
      </c>
      <c r="N20">
        <f t="shared" si="5"/>
        <v>11</v>
      </c>
      <c r="O20">
        <f t="shared" si="6"/>
        <v>17</v>
      </c>
      <c r="Q20">
        <f t="shared" ca="1" si="7"/>
        <v>15</v>
      </c>
      <c r="R20">
        <f t="shared" ca="1" si="8"/>
        <v>11</v>
      </c>
      <c r="S20">
        <f t="shared" ca="1" si="9"/>
        <v>7</v>
      </c>
      <c r="T20">
        <f t="shared" ca="1" si="10"/>
        <v>3</v>
      </c>
      <c r="U20">
        <f t="shared" ca="1" si="11"/>
        <v>3</v>
      </c>
    </row>
    <row r="21" spans="2:21" x14ac:dyDescent="0.3">
      <c r="B21" t="s">
        <v>467</v>
      </c>
      <c r="D21">
        <f t="shared" ca="1" si="0"/>
        <v>94</v>
      </c>
      <c r="E21">
        <f t="shared" ca="1" si="1"/>
        <v>6</v>
      </c>
      <c r="F21">
        <f ca="1">F20 - FLOOR(RANDBETWEEN(N21, O21) / F8, 1)</f>
        <v>70</v>
      </c>
      <c r="G21">
        <f t="shared" si="12"/>
        <v>100</v>
      </c>
      <c r="I21">
        <f t="shared" ca="1" si="2"/>
        <v>94</v>
      </c>
      <c r="J21">
        <f t="shared" ca="1" si="3"/>
        <v>9</v>
      </c>
      <c r="K21">
        <f>C6</f>
        <v>2</v>
      </c>
      <c r="L21">
        <f t="shared" ca="1" si="4"/>
        <v>18</v>
      </c>
      <c r="N21">
        <f t="shared" si="5"/>
        <v>11</v>
      </c>
      <c r="O21">
        <f t="shared" si="6"/>
        <v>17</v>
      </c>
      <c r="Q21">
        <f t="shared" ca="1" si="7"/>
        <v>16</v>
      </c>
      <c r="R21">
        <f t="shared" ca="1" si="8"/>
        <v>9</v>
      </c>
      <c r="S21">
        <f t="shared" ca="1" si="9"/>
        <v>7</v>
      </c>
      <c r="T21">
        <f t="shared" ca="1" si="10"/>
        <v>5</v>
      </c>
      <c r="U21">
        <f t="shared" ca="1" si="11"/>
        <v>3</v>
      </c>
    </row>
    <row r="22" spans="2:21" x14ac:dyDescent="0.3">
      <c r="B22" t="s">
        <v>468</v>
      </c>
      <c r="D22">
        <f t="shared" ca="1" si="0"/>
        <v>94</v>
      </c>
      <c r="E22">
        <f t="shared" ca="1" si="1"/>
        <v>6</v>
      </c>
      <c r="F22">
        <f ca="1">F21 - FLOOR(RANDBETWEEN(N22, O22) / F8, 1)</f>
        <v>68</v>
      </c>
      <c r="G22">
        <f t="shared" si="12"/>
        <v>100</v>
      </c>
      <c r="I22">
        <f t="shared" ca="1" si="2"/>
        <v>94</v>
      </c>
      <c r="J22">
        <f t="shared" ca="1" si="3"/>
        <v>9</v>
      </c>
      <c r="K22">
        <f>C6</f>
        <v>2</v>
      </c>
      <c r="L22">
        <f t="shared" ca="1" si="4"/>
        <v>18</v>
      </c>
      <c r="N22">
        <f t="shared" si="5"/>
        <v>11</v>
      </c>
      <c r="O22">
        <f t="shared" si="6"/>
        <v>17</v>
      </c>
      <c r="Q22">
        <f t="shared" ca="1" si="7"/>
        <v>11</v>
      </c>
      <c r="R22">
        <f t="shared" ca="1" si="8"/>
        <v>8</v>
      </c>
      <c r="S22">
        <f t="shared" ca="1" si="9"/>
        <v>8</v>
      </c>
      <c r="T22">
        <f t="shared" ca="1" si="10"/>
        <v>5</v>
      </c>
      <c r="U22">
        <f t="shared" ca="1" si="11"/>
        <v>2</v>
      </c>
    </row>
    <row r="23" spans="2:21" x14ac:dyDescent="0.3">
      <c r="B23" t="s">
        <v>469</v>
      </c>
      <c r="D23">
        <f t="shared" ca="1" si="0"/>
        <v>94</v>
      </c>
      <c r="E23">
        <f t="shared" ca="1" si="1"/>
        <v>6</v>
      </c>
      <c r="F23">
        <f ca="1">F22 - FLOOR(RANDBETWEEN(N23, O23) / F8, 1)</f>
        <v>65</v>
      </c>
      <c r="G23">
        <f t="shared" si="12"/>
        <v>100</v>
      </c>
      <c r="I23">
        <f t="shared" ca="1" si="2"/>
        <v>94</v>
      </c>
      <c r="J23">
        <f t="shared" ca="1" si="3"/>
        <v>9</v>
      </c>
      <c r="K23">
        <f>C6</f>
        <v>2</v>
      </c>
      <c r="L23">
        <f t="shared" ca="1" si="4"/>
        <v>18</v>
      </c>
      <c r="N23">
        <f t="shared" si="5"/>
        <v>11</v>
      </c>
      <c r="O23">
        <f t="shared" si="6"/>
        <v>17</v>
      </c>
      <c r="Q23">
        <f t="shared" ca="1" si="7"/>
        <v>13</v>
      </c>
      <c r="R23">
        <f t="shared" ca="1" si="8"/>
        <v>10</v>
      </c>
      <c r="S23">
        <f t="shared" ca="1" si="9"/>
        <v>8</v>
      </c>
      <c r="T23">
        <f t="shared" ca="1" si="10"/>
        <v>4</v>
      </c>
      <c r="U23">
        <f t="shared" ca="1" si="11"/>
        <v>3</v>
      </c>
    </row>
    <row r="24" spans="2:21" x14ac:dyDescent="0.3">
      <c r="B24" t="s">
        <v>470</v>
      </c>
      <c r="D24">
        <f t="shared" ca="1" si="0"/>
        <v>94</v>
      </c>
      <c r="E24">
        <f t="shared" ca="1" si="1"/>
        <v>6</v>
      </c>
      <c r="F24">
        <f ca="1">F23 - FLOOR(RANDBETWEEN(N24, O24) / F8, 1)</f>
        <v>61</v>
      </c>
      <c r="G24">
        <f t="shared" si="12"/>
        <v>100</v>
      </c>
      <c r="I24">
        <f t="shared" ca="1" si="2"/>
        <v>94</v>
      </c>
      <c r="J24">
        <f t="shared" ca="1" si="3"/>
        <v>9</v>
      </c>
      <c r="K24">
        <f>C6</f>
        <v>2</v>
      </c>
      <c r="L24">
        <f t="shared" ca="1" si="4"/>
        <v>18</v>
      </c>
      <c r="N24">
        <f t="shared" si="5"/>
        <v>11</v>
      </c>
      <c r="O24">
        <f t="shared" si="6"/>
        <v>17</v>
      </c>
      <c r="Q24">
        <f t="shared" ca="1" si="7"/>
        <v>12</v>
      </c>
      <c r="R24">
        <f t="shared" ca="1" si="8"/>
        <v>9</v>
      </c>
      <c r="S24">
        <f t="shared" ca="1" si="9"/>
        <v>8</v>
      </c>
      <c r="T24">
        <f t="shared" ca="1" si="10"/>
        <v>4</v>
      </c>
      <c r="U24">
        <f t="shared" ca="1" si="11"/>
        <v>4</v>
      </c>
    </row>
    <row r="25" spans="2:21" x14ac:dyDescent="0.3">
      <c r="B25" t="s">
        <v>471</v>
      </c>
      <c r="D25">
        <f t="shared" ca="1" si="0"/>
        <v>92</v>
      </c>
      <c r="E25">
        <f t="shared" ca="1" si="1"/>
        <v>8</v>
      </c>
      <c r="F25">
        <f ca="1">F24 - FLOOR(RANDBETWEEN(N25, O25) / F8, 1)</f>
        <v>58</v>
      </c>
      <c r="G25">
        <f t="shared" si="12"/>
        <v>100</v>
      </c>
      <c r="I25">
        <f t="shared" ca="1" si="2"/>
        <v>92</v>
      </c>
      <c r="J25">
        <f t="shared" ca="1" si="3"/>
        <v>9</v>
      </c>
      <c r="K25">
        <f>C6</f>
        <v>2</v>
      </c>
      <c r="L25">
        <f t="shared" ca="1" si="4"/>
        <v>18</v>
      </c>
      <c r="N25">
        <f t="shared" si="5"/>
        <v>11</v>
      </c>
      <c r="O25">
        <f t="shared" si="6"/>
        <v>17</v>
      </c>
      <c r="Q25">
        <f t="shared" ca="1" si="7"/>
        <v>11</v>
      </c>
      <c r="R25">
        <f t="shared" ca="1" si="8"/>
        <v>10</v>
      </c>
      <c r="S25">
        <f t="shared" ca="1" si="9"/>
        <v>6</v>
      </c>
      <c r="T25">
        <f t="shared" ca="1" si="10"/>
        <v>4</v>
      </c>
      <c r="U25">
        <f t="shared" ca="1" si="11"/>
        <v>4</v>
      </c>
    </row>
    <row r="26" spans="2:21" x14ac:dyDescent="0.3">
      <c r="B26" t="s">
        <v>472</v>
      </c>
      <c r="D26">
        <f t="shared" ca="1" si="0"/>
        <v>92</v>
      </c>
      <c r="E26">
        <f t="shared" ca="1" si="1"/>
        <v>8</v>
      </c>
      <c r="F26">
        <f ca="1">F25 - FLOOR(RANDBETWEEN(N26, O26) / F8, 1)</f>
        <v>55</v>
      </c>
      <c r="G26">
        <f t="shared" si="12"/>
        <v>100</v>
      </c>
      <c r="I26">
        <f t="shared" ca="1" si="2"/>
        <v>92</v>
      </c>
      <c r="J26">
        <f t="shared" ca="1" si="3"/>
        <v>9</v>
      </c>
      <c r="K26">
        <f>C6</f>
        <v>2</v>
      </c>
      <c r="L26">
        <f t="shared" ca="1" si="4"/>
        <v>18</v>
      </c>
      <c r="N26">
        <f t="shared" si="5"/>
        <v>11</v>
      </c>
      <c r="O26">
        <f t="shared" si="6"/>
        <v>17</v>
      </c>
      <c r="Q26">
        <f t="shared" ca="1" si="7"/>
        <v>15</v>
      </c>
      <c r="R26">
        <f t="shared" ca="1" si="8"/>
        <v>11</v>
      </c>
      <c r="S26">
        <f t="shared" ca="1" si="9"/>
        <v>8</v>
      </c>
      <c r="T26">
        <f t="shared" ca="1" si="10"/>
        <v>5</v>
      </c>
      <c r="U26">
        <f t="shared" ca="1" si="11"/>
        <v>4</v>
      </c>
    </row>
    <row r="27" spans="2:21" x14ac:dyDescent="0.3">
      <c r="B27" t="s">
        <v>473</v>
      </c>
      <c r="D27">
        <f t="shared" ca="1" si="0"/>
        <v>92</v>
      </c>
      <c r="E27">
        <f t="shared" ca="1" si="1"/>
        <v>8</v>
      </c>
      <c r="F27">
        <f ca="1">F26 - FLOOR(RANDBETWEEN(N27, O27) / F8, 1)</f>
        <v>52</v>
      </c>
      <c r="G27">
        <f t="shared" si="12"/>
        <v>100</v>
      </c>
      <c r="I27">
        <f t="shared" ca="1" si="2"/>
        <v>92</v>
      </c>
      <c r="J27">
        <f t="shared" ca="1" si="3"/>
        <v>9</v>
      </c>
      <c r="K27">
        <f>C6</f>
        <v>2</v>
      </c>
      <c r="L27">
        <f t="shared" ca="1" si="4"/>
        <v>18</v>
      </c>
      <c r="N27">
        <f t="shared" si="5"/>
        <v>11</v>
      </c>
      <c r="O27">
        <f t="shared" si="6"/>
        <v>17</v>
      </c>
      <c r="Q27">
        <f t="shared" ca="1" si="7"/>
        <v>12</v>
      </c>
      <c r="R27">
        <f t="shared" ca="1" si="8"/>
        <v>7</v>
      </c>
      <c r="S27">
        <f t="shared" ca="1" si="9"/>
        <v>6</v>
      </c>
      <c r="T27">
        <f t="shared" ca="1" si="10"/>
        <v>5</v>
      </c>
      <c r="U27">
        <f t="shared" ca="1" si="11"/>
        <v>2</v>
      </c>
    </row>
    <row r="28" spans="2:21" x14ac:dyDescent="0.3">
      <c r="B28" t="s">
        <v>474</v>
      </c>
      <c r="D28">
        <f t="shared" ca="1" si="0"/>
        <v>90</v>
      </c>
      <c r="E28">
        <f t="shared" ca="1" si="1"/>
        <v>10</v>
      </c>
      <c r="F28">
        <f ca="1">F27 - FLOOR(RANDBETWEEN(N28, O28) / F8, 1)</f>
        <v>49</v>
      </c>
      <c r="G28">
        <f t="shared" si="12"/>
        <v>100</v>
      </c>
      <c r="I28">
        <f t="shared" ca="1" si="2"/>
        <v>90</v>
      </c>
      <c r="J28">
        <f t="shared" ca="1" si="3"/>
        <v>9</v>
      </c>
      <c r="K28">
        <f>C6</f>
        <v>2</v>
      </c>
      <c r="L28">
        <f t="shared" ca="1" si="4"/>
        <v>18</v>
      </c>
      <c r="N28">
        <f t="shared" si="5"/>
        <v>11</v>
      </c>
      <c r="O28">
        <f t="shared" si="6"/>
        <v>17</v>
      </c>
      <c r="Q28">
        <f t="shared" ca="1" si="7"/>
        <v>14</v>
      </c>
      <c r="R28">
        <f t="shared" ca="1" si="8"/>
        <v>10</v>
      </c>
      <c r="S28">
        <f t="shared" ca="1" si="9"/>
        <v>8</v>
      </c>
      <c r="T28">
        <f t="shared" ca="1" si="10"/>
        <v>3</v>
      </c>
      <c r="U28">
        <f t="shared" ca="1" si="11"/>
        <v>4</v>
      </c>
    </row>
    <row r="29" spans="2:21" x14ac:dyDescent="0.3">
      <c r="B29" t="s">
        <v>475</v>
      </c>
      <c r="D29">
        <f t="shared" ca="1" si="0"/>
        <v>90</v>
      </c>
      <c r="E29">
        <f t="shared" ca="1" si="1"/>
        <v>10</v>
      </c>
      <c r="F29">
        <f ca="1">F28 - FLOOR(RANDBETWEEN(N29, O29) / F8, 1)</f>
        <v>46</v>
      </c>
      <c r="G29">
        <f t="shared" si="12"/>
        <v>100</v>
      </c>
      <c r="I29">
        <f t="shared" ca="1" si="2"/>
        <v>90</v>
      </c>
      <c r="J29">
        <f t="shared" ca="1" si="3"/>
        <v>9</v>
      </c>
      <c r="K29">
        <f>C6</f>
        <v>2</v>
      </c>
      <c r="L29">
        <f t="shared" ca="1" si="4"/>
        <v>18</v>
      </c>
      <c r="N29">
        <f t="shared" si="5"/>
        <v>11</v>
      </c>
      <c r="O29">
        <f t="shared" si="6"/>
        <v>17</v>
      </c>
      <c r="Q29">
        <f t="shared" ca="1" si="7"/>
        <v>14</v>
      </c>
      <c r="R29">
        <f t="shared" ca="1" si="8"/>
        <v>9</v>
      </c>
      <c r="S29">
        <f t="shared" ca="1" si="9"/>
        <v>7</v>
      </c>
      <c r="T29">
        <f t="shared" ca="1" si="10"/>
        <v>4</v>
      </c>
      <c r="U29">
        <f t="shared" ca="1" si="11"/>
        <v>3</v>
      </c>
    </row>
    <row r="30" spans="2:21" x14ac:dyDescent="0.3">
      <c r="B30" t="s">
        <v>476</v>
      </c>
      <c r="D30">
        <f t="shared" ca="1" si="0"/>
        <v>90</v>
      </c>
      <c r="E30">
        <f t="shared" ca="1" si="1"/>
        <v>10</v>
      </c>
      <c r="F30">
        <f ca="1">F29 - FLOOR(RANDBETWEEN(N30, O30) / F8, 1)</f>
        <v>42</v>
      </c>
      <c r="G30">
        <f t="shared" si="12"/>
        <v>100</v>
      </c>
      <c r="I30">
        <f t="shared" ca="1" si="2"/>
        <v>90</v>
      </c>
      <c r="J30">
        <f t="shared" ca="1" si="3"/>
        <v>9</v>
      </c>
      <c r="K30">
        <f>C6</f>
        <v>2</v>
      </c>
      <c r="L30">
        <f t="shared" ca="1" si="4"/>
        <v>18</v>
      </c>
      <c r="N30">
        <f t="shared" si="5"/>
        <v>11</v>
      </c>
      <c r="O30">
        <f t="shared" si="6"/>
        <v>17</v>
      </c>
      <c r="Q30">
        <f t="shared" ca="1" si="7"/>
        <v>11</v>
      </c>
      <c r="R30">
        <f t="shared" ca="1" si="8"/>
        <v>10</v>
      </c>
      <c r="S30">
        <f t="shared" ca="1" si="9"/>
        <v>8</v>
      </c>
      <c r="T30">
        <f t="shared" ca="1" si="10"/>
        <v>5</v>
      </c>
      <c r="U30">
        <f t="shared" ca="1" si="11"/>
        <v>3</v>
      </c>
    </row>
    <row r="31" spans="2:21" x14ac:dyDescent="0.3">
      <c r="B31" t="s">
        <v>477</v>
      </c>
      <c r="D31">
        <f t="shared" ca="1" si="0"/>
        <v>88</v>
      </c>
      <c r="E31">
        <f t="shared" ca="1" si="1"/>
        <v>12</v>
      </c>
      <c r="F31">
        <f ca="1">F30 - FLOOR(RANDBETWEEN(N31, O31) / F8, 1)</f>
        <v>40</v>
      </c>
      <c r="G31">
        <f t="shared" si="12"/>
        <v>100</v>
      </c>
      <c r="I31">
        <f t="shared" ca="1" si="2"/>
        <v>88</v>
      </c>
      <c r="J31">
        <f t="shared" ca="1" si="3"/>
        <v>8</v>
      </c>
      <c r="K31">
        <f>C6</f>
        <v>2</v>
      </c>
      <c r="L31">
        <f t="shared" ca="1" si="4"/>
        <v>16</v>
      </c>
      <c r="N31">
        <f t="shared" si="5"/>
        <v>11</v>
      </c>
      <c r="O31">
        <f t="shared" si="6"/>
        <v>17</v>
      </c>
      <c r="Q31">
        <f t="shared" ca="1" si="7"/>
        <v>14</v>
      </c>
      <c r="R31">
        <f t="shared" ca="1" si="8"/>
        <v>9</v>
      </c>
      <c r="S31">
        <f t="shared" ca="1" si="9"/>
        <v>7</v>
      </c>
      <c r="T31">
        <f t="shared" ca="1" si="10"/>
        <v>4</v>
      </c>
      <c r="U31">
        <f t="shared" ca="1" si="11"/>
        <v>3</v>
      </c>
    </row>
    <row r="32" spans="2:21" x14ac:dyDescent="0.3">
      <c r="B32" t="s">
        <v>478</v>
      </c>
      <c r="D32">
        <f t="shared" ca="1" si="0"/>
        <v>88</v>
      </c>
      <c r="E32">
        <f t="shared" ca="1" si="1"/>
        <v>12</v>
      </c>
      <c r="F32">
        <f ca="1">F31 - FLOOR(RANDBETWEEN(N32, O32) / F8, 1)</f>
        <v>37</v>
      </c>
      <c r="G32">
        <f t="shared" si="12"/>
        <v>100</v>
      </c>
      <c r="I32">
        <f t="shared" ca="1" si="2"/>
        <v>88</v>
      </c>
      <c r="J32">
        <f t="shared" ca="1" si="3"/>
        <v>8</v>
      </c>
      <c r="K32">
        <f>C6</f>
        <v>2</v>
      </c>
      <c r="L32">
        <f t="shared" ca="1" si="4"/>
        <v>16</v>
      </c>
      <c r="N32">
        <f t="shared" si="5"/>
        <v>11</v>
      </c>
      <c r="O32">
        <f t="shared" si="6"/>
        <v>17</v>
      </c>
      <c r="Q32">
        <f t="shared" ca="1" si="7"/>
        <v>16</v>
      </c>
      <c r="R32">
        <f t="shared" ca="1" si="8"/>
        <v>10</v>
      </c>
      <c r="S32">
        <f t="shared" ca="1" si="9"/>
        <v>7</v>
      </c>
      <c r="T32">
        <f t="shared" ca="1" si="10"/>
        <v>3</v>
      </c>
      <c r="U32">
        <f t="shared" ca="1" si="11"/>
        <v>2</v>
      </c>
    </row>
    <row r="33" spans="2:21" x14ac:dyDescent="0.3">
      <c r="B33" t="s">
        <v>479</v>
      </c>
      <c r="D33">
        <f t="shared" ca="1" si="0"/>
        <v>88</v>
      </c>
      <c r="E33">
        <f t="shared" ca="1" si="1"/>
        <v>12</v>
      </c>
      <c r="F33">
        <f ca="1">F32 - FLOOR(RANDBETWEEN(N33, O33) / F8, 1)</f>
        <v>35</v>
      </c>
      <c r="G33">
        <f t="shared" si="12"/>
        <v>100</v>
      </c>
      <c r="I33">
        <f t="shared" ca="1" si="2"/>
        <v>88</v>
      </c>
      <c r="J33">
        <f t="shared" ca="1" si="3"/>
        <v>8</v>
      </c>
      <c r="K33">
        <f>C6</f>
        <v>2</v>
      </c>
      <c r="L33">
        <f t="shared" ca="1" si="4"/>
        <v>16</v>
      </c>
      <c r="N33">
        <f t="shared" si="5"/>
        <v>11</v>
      </c>
      <c r="O33">
        <f t="shared" si="6"/>
        <v>17</v>
      </c>
      <c r="Q33">
        <f t="shared" ca="1" si="7"/>
        <v>16</v>
      </c>
      <c r="R33">
        <f t="shared" ca="1" si="8"/>
        <v>7</v>
      </c>
      <c r="S33">
        <f t="shared" ca="1" si="9"/>
        <v>7</v>
      </c>
      <c r="T33">
        <f t="shared" ca="1" si="10"/>
        <v>5</v>
      </c>
      <c r="U33">
        <f t="shared" ca="1" si="11"/>
        <v>4</v>
      </c>
    </row>
    <row r="34" spans="2:21" x14ac:dyDescent="0.3">
      <c r="B34" t="s">
        <v>480</v>
      </c>
      <c r="D34">
        <f t="shared" ca="1" si="0"/>
        <v>88</v>
      </c>
      <c r="E34">
        <f t="shared" ca="1" si="1"/>
        <v>12</v>
      </c>
      <c r="F34">
        <f ca="1">F33 - FLOOR(RANDBETWEEN(N34, O34) / F8, 1)</f>
        <v>32</v>
      </c>
      <c r="G34">
        <f t="shared" si="12"/>
        <v>100</v>
      </c>
      <c r="I34">
        <f t="shared" ca="1" si="2"/>
        <v>88</v>
      </c>
      <c r="J34">
        <f t="shared" ca="1" si="3"/>
        <v>8</v>
      </c>
      <c r="K34">
        <f>C6</f>
        <v>2</v>
      </c>
      <c r="L34">
        <f t="shared" ca="1" si="4"/>
        <v>16</v>
      </c>
      <c r="N34">
        <f t="shared" si="5"/>
        <v>11</v>
      </c>
      <c r="O34">
        <f t="shared" si="6"/>
        <v>17</v>
      </c>
      <c r="Q34">
        <f t="shared" ca="1" si="7"/>
        <v>14</v>
      </c>
      <c r="R34">
        <f t="shared" ca="1" si="8"/>
        <v>11</v>
      </c>
      <c r="S34">
        <f t="shared" ca="1" si="9"/>
        <v>7</v>
      </c>
      <c r="T34">
        <f t="shared" ca="1" si="10"/>
        <v>3</v>
      </c>
      <c r="U34">
        <f t="shared" ca="1" si="11"/>
        <v>2</v>
      </c>
    </row>
    <row r="35" spans="2:21" x14ac:dyDescent="0.3">
      <c r="B35" t="s">
        <v>481</v>
      </c>
      <c r="D35">
        <f t="shared" ca="1" si="0"/>
        <v>86</v>
      </c>
      <c r="E35">
        <f t="shared" ca="1" si="1"/>
        <v>14</v>
      </c>
      <c r="F35">
        <f ca="1">F34 - FLOOR(RANDBETWEEN(N35, O35) / F8, 1)</f>
        <v>30</v>
      </c>
      <c r="G35">
        <f t="shared" si="12"/>
        <v>100</v>
      </c>
      <c r="I35">
        <f t="shared" ca="1" si="2"/>
        <v>86</v>
      </c>
      <c r="J35">
        <f t="shared" ca="1" si="3"/>
        <v>8</v>
      </c>
      <c r="K35">
        <f>C6</f>
        <v>2</v>
      </c>
      <c r="L35">
        <f t="shared" ca="1" si="4"/>
        <v>16</v>
      </c>
      <c r="N35">
        <f t="shared" si="5"/>
        <v>11</v>
      </c>
      <c r="O35">
        <f t="shared" si="6"/>
        <v>17</v>
      </c>
      <c r="Q35">
        <f t="shared" ca="1" si="7"/>
        <v>15</v>
      </c>
      <c r="R35">
        <f t="shared" ca="1" si="8"/>
        <v>8</v>
      </c>
      <c r="S35">
        <f t="shared" ca="1" si="9"/>
        <v>5</v>
      </c>
      <c r="T35">
        <f t="shared" ca="1" si="10"/>
        <v>5</v>
      </c>
      <c r="U35">
        <f t="shared" ca="1" si="11"/>
        <v>3</v>
      </c>
    </row>
    <row r="36" spans="2:21" x14ac:dyDescent="0.3">
      <c r="B36" t="s">
        <v>482</v>
      </c>
      <c r="D36">
        <f t="shared" ca="1" si="0"/>
        <v>86</v>
      </c>
      <c r="E36">
        <f t="shared" ca="1" si="1"/>
        <v>14</v>
      </c>
      <c r="F36">
        <f ca="1">F35 - FLOOR(RANDBETWEEN(N36, O36) / F8, 1)</f>
        <v>28</v>
      </c>
      <c r="G36">
        <f t="shared" si="12"/>
        <v>100</v>
      </c>
      <c r="I36">
        <f t="shared" ca="1" si="2"/>
        <v>86</v>
      </c>
      <c r="J36">
        <f t="shared" ca="1" si="3"/>
        <v>8</v>
      </c>
      <c r="K36">
        <f>C6</f>
        <v>2</v>
      </c>
      <c r="L36">
        <f t="shared" ca="1" si="4"/>
        <v>16</v>
      </c>
      <c r="N36">
        <f t="shared" si="5"/>
        <v>11</v>
      </c>
      <c r="O36">
        <f t="shared" si="6"/>
        <v>17</v>
      </c>
      <c r="Q36">
        <f t="shared" ca="1" si="7"/>
        <v>13</v>
      </c>
      <c r="R36">
        <f t="shared" ca="1" si="8"/>
        <v>9</v>
      </c>
      <c r="S36">
        <f t="shared" ca="1" si="9"/>
        <v>7</v>
      </c>
      <c r="T36">
        <f t="shared" ca="1" si="10"/>
        <v>3</v>
      </c>
      <c r="U36">
        <f t="shared" ca="1" si="11"/>
        <v>4</v>
      </c>
    </row>
    <row r="37" spans="2:21" x14ac:dyDescent="0.3">
      <c r="B37" t="s">
        <v>483</v>
      </c>
      <c r="D37">
        <f t="shared" ca="1" si="0"/>
        <v>86</v>
      </c>
      <c r="E37">
        <f t="shared" ca="1" si="1"/>
        <v>14</v>
      </c>
      <c r="F37">
        <f ca="1">F36 - FLOOR(RANDBETWEEN(N37, O37) / F8, 1)</f>
        <v>24</v>
      </c>
      <c r="G37">
        <f t="shared" si="12"/>
        <v>100</v>
      </c>
      <c r="I37">
        <f t="shared" ca="1" si="2"/>
        <v>86</v>
      </c>
      <c r="J37">
        <f t="shared" ca="1" si="3"/>
        <v>8</v>
      </c>
      <c r="K37">
        <f>C6</f>
        <v>2</v>
      </c>
      <c r="L37">
        <f t="shared" ca="1" si="4"/>
        <v>16</v>
      </c>
      <c r="N37">
        <f t="shared" si="5"/>
        <v>11</v>
      </c>
      <c r="O37">
        <f t="shared" si="6"/>
        <v>17</v>
      </c>
      <c r="Q37">
        <f t="shared" ca="1" si="7"/>
        <v>16</v>
      </c>
      <c r="R37">
        <f t="shared" ca="1" si="8"/>
        <v>11</v>
      </c>
      <c r="S37">
        <f t="shared" ca="1" si="9"/>
        <v>6</v>
      </c>
      <c r="T37">
        <f t="shared" ca="1" si="10"/>
        <v>5</v>
      </c>
      <c r="U37">
        <f t="shared" ca="1" si="11"/>
        <v>4</v>
      </c>
    </row>
    <row r="38" spans="2:21" x14ac:dyDescent="0.3">
      <c r="B38" t="s">
        <v>484</v>
      </c>
      <c r="D38">
        <f t="shared" ca="1" si="0"/>
        <v>84</v>
      </c>
      <c r="E38">
        <f t="shared" ca="1" si="1"/>
        <v>16</v>
      </c>
      <c r="F38">
        <f ca="1">F37 - FLOOR(RANDBETWEEN(N38, O38) / F8, 1)</f>
        <v>20</v>
      </c>
      <c r="G38">
        <f t="shared" si="12"/>
        <v>100</v>
      </c>
      <c r="I38">
        <f t="shared" ca="1" si="2"/>
        <v>84</v>
      </c>
      <c r="J38">
        <f t="shared" ca="1" si="3"/>
        <v>8</v>
      </c>
      <c r="K38">
        <f>C6</f>
        <v>2</v>
      </c>
      <c r="L38">
        <f t="shared" ca="1" si="4"/>
        <v>16</v>
      </c>
      <c r="N38">
        <f t="shared" si="5"/>
        <v>11</v>
      </c>
      <c r="O38">
        <f t="shared" si="6"/>
        <v>17</v>
      </c>
      <c r="Q38">
        <f t="shared" ca="1" si="7"/>
        <v>12</v>
      </c>
      <c r="R38">
        <f t="shared" ca="1" si="8"/>
        <v>8</v>
      </c>
      <c r="S38">
        <f t="shared" ca="1" si="9"/>
        <v>8</v>
      </c>
      <c r="T38">
        <f t="shared" ca="1" si="10"/>
        <v>5</v>
      </c>
      <c r="U38">
        <f t="shared" ca="1" si="11"/>
        <v>3</v>
      </c>
    </row>
    <row r="39" spans="2:21" x14ac:dyDescent="0.3">
      <c r="B39" t="s">
        <v>485</v>
      </c>
      <c r="D39">
        <f t="shared" ca="1" si="0"/>
        <v>84</v>
      </c>
      <c r="E39">
        <f t="shared" ca="1" si="1"/>
        <v>16</v>
      </c>
      <c r="F39">
        <f ca="1">F38 - FLOOR(RANDBETWEEN(N39, O39) / F8, 1)</f>
        <v>17</v>
      </c>
      <c r="G39">
        <f t="shared" si="12"/>
        <v>100</v>
      </c>
      <c r="I39">
        <f t="shared" ca="1" si="2"/>
        <v>84</v>
      </c>
      <c r="J39">
        <f t="shared" ca="1" si="3"/>
        <v>8</v>
      </c>
      <c r="K39">
        <f>C6</f>
        <v>2</v>
      </c>
      <c r="L39">
        <f t="shared" ca="1" si="4"/>
        <v>16</v>
      </c>
      <c r="N39">
        <f t="shared" si="5"/>
        <v>11</v>
      </c>
      <c r="O39">
        <f t="shared" si="6"/>
        <v>17</v>
      </c>
      <c r="Q39">
        <f t="shared" ca="1" si="7"/>
        <v>17</v>
      </c>
      <c r="R39">
        <f t="shared" ca="1" si="8"/>
        <v>8</v>
      </c>
      <c r="S39">
        <f t="shared" ca="1" si="9"/>
        <v>6</v>
      </c>
      <c r="T39">
        <f t="shared" ca="1" si="10"/>
        <v>5</v>
      </c>
      <c r="U39">
        <f t="shared" ca="1" si="11"/>
        <v>2</v>
      </c>
    </row>
    <row r="40" spans="2:21" x14ac:dyDescent="0.3">
      <c r="B40" t="s">
        <v>486</v>
      </c>
      <c r="D40">
        <f t="shared" ca="1" si="0"/>
        <v>84</v>
      </c>
      <c r="E40">
        <f t="shared" ca="1" si="1"/>
        <v>16</v>
      </c>
      <c r="F40">
        <f ca="1">F39 - FLOOR(RANDBETWEEN(N40, O40) / F8, 1)</f>
        <v>13</v>
      </c>
      <c r="G40">
        <f t="shared" si="12"/>
        <v>100</v>
      </c>
      <c r="I40">
        <f t="shared" ca="1" si="2"/>
        <v>84</v>
      </c>
      <c r="J40">
        <f t="shared" ca="1" si="3"/>
        <v>8</v>
      </c>
      <c r="K40">
        <f>C6</f>
        <v>2</v>
      </c>
      <c r="L40">
        <f t="shared" ca="1" si="4"/>
        <v>16</v>
      </c>
      <c r="N40">
        <f t="shared" si="5"/>
        <v>11</v>
      </c>
      <c r="O40">
        <f t="shared" si="6"/>
        <v>17</v>
      </c>
      <c r="Q40">
        <f t="shared" ca="1" si="7"/>
        <v>11</v>
      </c>
      <c r="R40">
        <f t="shared" ca="1" si="8"/>
        <v>8</v>
      </c>
      <c r="S40">
        <f t="shared" ca="1" si="9"/>
        <v>7</v>
      </c>
      <c r="T40">
        <f t="shared" ca="1" si="10"/>
        <v>4</v>
      </c>
      <c r="U40">
        <f t="shared" ca="1" si="11"/>
        <v>3</v>
      </c>
    </row>
    <row r="41" spans="2:21" x14ac:dyDescent="0.3">
      <c r="B41" t="s">
        <v>487</v>
      </c>
      <c r="D41">
        <f t="shared" ca="1" si="0"/>
        <v>82</v>
      </c>
      <c r="E41">
        <f t="shared" ca="1" si="1"/>
        <v>18</v>
      </c>
      <c r="F41">
        <f ca="1">F40 - FLOOR(RANDBETWEEN(N41, O41) / F8, 1)</f>
        <v>10</v>
      </c>
      <c r="G41">
        <f t="shared" si="12"/>
        <v>100</v>
      </c>
      <c r="I41">
        <f t="shared" ca="1" si="2"/>
        <v>82</v>
      </c>
      <c r="J41">
        <f t="shared" ca="1" si="3"/>
        <v>8</v>
      </c>
      <c r="K41">
        <f>C6</f>
        <v>2</v>
      </c>
      <c r="L41">
        <f t="shared" ca="1" si="4"/>
        <v>16</v>
      </c>
      <c r="N41">
        <f t="shared" si="5"/>
        <v>11</v>
      </c>
      <c r="O41">
        <f t="shared" si="6"/>
        <v>17</v>
      </c>
      <c r="Q41">
        <f t="shared" ca="1" si="7"/>
        <v>14</v>
      </c>
      <c r="R41">
        <f t="shared" ca="1" si="8"/>
        <v>10</v>
      </c>
      <c r="S41">
        <f t="shared" ca="1" si="9"/>
        <v>6</v>
      </c>
      <c r="T41">
        <f t="shared" ca="1" si="10"/>
        <v>5</v>
      </c>
      <c r="U41">
        <f t="shared" ca="1" si="11"/>
        <v>4</v>
      </c>
    </row>
    <row r="42" spans="2:21" x14ac:dyDescent="0.3">
      <c r="B42" t="s">
        <v>488</v>
      </c>
      <c r="D42">
        <f t="shared" ca="1" si="0"/>
        <v>82</v>
      </c>
      <c r="E42">
        <f t="shared" ca="1" si="1"/>
        <v>18</v>
      </c>
      <c r="F42">
        <f ca="1">F41 - FLOOR(RANDBETWEEN(N42, O42) / F8, 1)</f>
        <v>7</v>
      </c>
      <c r="G42">
        <f t="shared" si="12"/>
        <v>100</v>
      </c>
      <c r="I42">
        <f t="shared" ca="1" si="2"/>
        <v>82</v>
      </c>
      <c r="J42">
        <f t="shared" ca="1" si="3"/>
        <v>8</v>
      </c>
      <c r="K42">
        <f>C6</f>
        <v>2</v>
      </c>
      <c r="L42">
        <f t="shared" ca="1" si="4"/>
        <v>16</v>
      </c>
      <c r="N42">
        <f t="shared" si="5"/>
        <v>11</v>
      </c>
      <c r="O42">
        <f t="shared" si="6"/>
        <v>17</v>
      </c>
      <c r="Q42">
        <f t="shared" ca="1" si="7"/>
        <v>15</v>
      </c>
      <c r="R42">
        <f t="shared" ca="1" si="8"/>
        <v>8</v>
      </c>
      <c r="S42">
        <f t="shared" ca="1" si="9"/>
        <v>6</v>
      </c>
      <c r="T42">
        <f t="shared" ca="1" si="10"/>
        <v>4</v>
      </c>
      <c r="U42">
        <f t="shared" ca="1" si="11"/>
        <v>2</v>
      </c>
    </row>
    <row r="43" spans="2:21" x14ac:dyDescent="0.3">
      <c r="B43" t="s">
        <v>489</v>
      </c>
      <c r="D43">
        <f t="shared" ca="1" si="0"/>
        <v>82</v>
      </c>
      <c r="E43">
        <f t="shared" ca="1" si="1"/>
        <v>18</v>
      </c>
      <c r="F43">
        <f ca="1">F42 - FLOOR(RANDBETWEEN(N43, O43) / F8, 1)</f>
        <v>4</v>
      </c>
      <c r="G43">
        <f t="shared" si="12"/>
        <v>100</v>
      </c>
      <c r="I43">
        <f t="shared" ca="1" si="2"/>
        <v>82</v>
      </c>
      <c r="J43">
        <f t="shared" ca="1" si="3"/>
        <v>8</v>
      </c>
      <c r="K43">
        <f>C6</f>
        <v>2</v>
      </c>
      <c r="L43">
        <f t="shared" ca="1" si="4"/>
        <v>16</v>
      </c>
      <c r="N43">
        <f t="shared" si="5"/>
        <v>11</v>
      </c>
      <c r="O43">
        <f t="shared" si="6"/>
        <v>17</v>
      </c>
      <c r="Q43">
        <f t="shared" ca="1" si="7"/>
        <v>16</v>
      </c>
      <c r="R43">
        <f t="shared" ca="1" si="8"/>
        <v>11</v>
      </c>
      <c r="S43">
        <f t="shared" ca="1" si="9"/>
        <v>6</v>
      </c>
      <c r="T43">
        <f t="shared" ca="1" si="10"/>
        <v>4</v>
      </c>
      <c r="U43">
        <f t="shared" ca="1" si="11"/>
        <v>3</v>
      </c>
    </row>
  </sheetData>
  <phoneticPr fontId="1" type="noConversion"/>
  <conditionalFormatting sqref="F12:F43">
    <cfRule type="cellIs" dxfId="275" priority="1" operator="greaterThan">
      <formula>$H$4</formula>
    </cfRule>
    <cfRule type="cellIs" dxfId="274" priority="2" operator="between">
      <formula>$H$3</formula>
      <formula>$H$4</formula>
    </cfRule>
    <cfRule type="cellIs" dxfId="273" priority="3" operator="lessThan">
      <formula>$H$3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2D2C-093F-4BAB-9D94-9058369EE7A1}">
  <sheetPr codeName="Sheet2"/>
  <dimension ref="B1:CH52"/>
  <sheetViews>
    <sheetView topLeftCell="AL1" zoomScale="80" zoomScaleNormal="90" workbookViewId="0">
      <selection activeCell="BI33" activeCellId="1" sqref="BI30:BI31 BI33"/>
    </sheetView>
  </sheetViews>
  <sheetFormatPr defaultColWidth="8.88671875" defaultRowHeight="16.8" customHeight="1" x14ac:dyDescent="0.3"/>
  <cols>
    <col min="1" max="1" width="3.109375" style="4" customWidth="1"/>
    <col min="2" max="2" width="27.77734375" style="4" customWidth="1"/>
    <col min="3" max="5" width="11.109375" style="4" customWidth="1"/>
    <col min="6" max="6" width="3.109375" style="4" customWidth="1"/>
    <col min="7" max="7" width="17.77734375" style="4" customWidth="1"/>
    <col min="8" max="8" width="3.109375" style="4" customWidth="1"/>
    <col min="9" max="11" width="11.109375" style="4" customWidth="1"/>
    <col min="12" max="13" width="3.109375" style="4" customWidth="1"/>
    <col min="14" max="17" width="6.6640625" style="4" customWidth="1"/>
    <col min="18" max="19" width="3.109375" style="4" customWidth="1"/>
    <col min="20" max="23" width="6.6640625" style="4" customWidth="1"/>
    <col min="24" max="25" width="3.109375" style="4" customWidth="1"/>
    <col min="26" max="28" width="6.6640625" style="4" customWidth="1"/>
    <col min="29" max="30" width="3.109375" style="4" customWidth="1"/>
    <col min="31" max="32" width="6.6640625" style="4" customWidth="1"/>
    <col min="33" max="34" width="3.109375" style="4" customWidth="1"/>
    <col min="35" max="35" width="7.21875" style="4" customWidth="1"/>
    <col min="36" max="36" width="21.109375" style="4" customWidth="1"/>
    <col min="37" max="37" width="16.6640625" style="4" customWidth="1"/>
    <col min="38" max="38" width="36.6640625" style="4" customWidth="1"/>
    <col min="39" max="40" width="17.77734375" style="4" customWidth="1"/>
    <col min="41" max="45" width="14.44140625" style="4" customWidth="1"/>
    <col min="46" max="47" width="3.109375" style="4" customWidth="1"/>
    <col min="48" max="48" width="7.21875" style="4" customWidth="1"/>
    <col min="49" max="49" width="21.109375" style="4" customWidth="1"/>
    <col min="50" max="50" width="16.6640625" style="4" hidden="1" customWidth="1"/>
    <col min="51" max="51" width="36.6640625" style="4" customWidth="1"/>
    <col min="52" max="53" width="17.77734375" style="4" customWidth="1"/>
    <col min="54" max="58" width="14.44140625" style="4" customWidth="1"/>
    <col min="59" max="60" width="3.109375" style="4" customWidth="1"/>
    <col min="61" max="61" width="17.77734375" style="4" customWidth="1"/>
    <col min="62" max="62" width="36.6640625" style="4" customWidth="1"/>
    <col min="63" max="65" width="17.77734375" style="4" customWidth="1"/>
    <col min="66" max="68" width="17.77734375" style="4" hidden="1" customWidth="1"/>
    <col min="69" max="71" width="14.44140625" style="4" customWidth="1"/>
    <col min="72" max="73" width="3.109375" style="4" customWidth="1"/>
    <col min="74" max="74" width="14.44140625" style="4" customWidth="1"/>
    <col min="75" max="75" width="43.33203125" style="4" customWidth="1"/>
    <col min="76" max="77" width="3.109375" style="4" customWidth="1"/>
    <col min="78" max="78" width="8.33203125" style="4" customWidth="1"/>
    <col min="79" max="81" width="6.6640625" style="4" customWidth="1"/>
    <col min="82" max="83" width="3.109375" style="4" customWidth="1"/>
    <col min="84" max="84" width="8.33203125" style="4" customWidth="1"/>
    <col min="85" max="86" width="6.6640625" style="4" customWidth="1"/>
    <col min="87" max="87" width="3.109375" style="4" customWidth="1"/>
    <col min="88" max="16384" width="8.88671875" style="4"/>
  </cols>
  <sheetData>
    <row r="1" spans="2:86" ht="16.8" customHeight="1" thickBot="1" x14ac:dyDescent="0.35"/>
    <row r="2" spans="2:86" ht="16.8" customHeight="1" x14ac:dyDescent="0.3">
      <c r="B2" s="174" t="s">
        <v>609</v>
      </c>
      <c r="C2" s="175"/>
      <c r="D2" s="175"/>
      <c r="E2" s="176"/>
      <c r="T2" s="174" t="s">
        <v>435</v>
      </c>
      <c r="U2" s="175"/>
      <c r="V2" s="175"/>
      <c r="W2" s="176"/>
      <c r="Z2" s="174" t="s">
        <v>435</v>
      </c>
      <c r="AA2" s="175"/>
      <c r="AB2" s="176"/>
      <c r="AE2" s="183" t="s">
        <v>144</v>
      </c>
      <c r="AF2" s="179"/>
      <c r="AI2" s="180" t="s">
        <v>715</v>
      </c>
      <c r="AJ2" s="181"/>
      <c r="AK2" s="181"/>
      <c r="AL2" s="181"/>
      <c r="AM2" s="181"/>
      <c r="AN2" s="181"/>
      <c r="AO2" s="181"/>
      <c r="AP2" s="181"/>
      <c r="AQ2" s="181"/>
      <c r="AR2" s="181"/>
      <c r="AS2" s="182"/>
      <c r="AV2" s="180" t="s">
        <v>715</v>
      </c>
      <c r="AW2" s="181"/>
      <c r="AX2" s="181"/>
      <c r="AY2" s="181"/>
      <c r="AZ2" s="181"/>
      <c r="BA2" s="181"/>
      <c r="BB2" s="181"/>
      <c r="BC2" s="181"/>
      <c r="BD2" s="181"/>
      <c r="BE2" s="181"/>
      <c r="BF2" s="182"/>
      <c r="BI2" s="179" t="s">
        <v>609</v>
      </c>
      <c r="BJ2" s="179"/>
      <c r="BK2" s="179"/>
      <c r="BL2" s="179"/>
      <c r="BM2" s="179"/>
      <c r="BN2" s="179"/>
      <c r="BO2" s="179"/>
      <c r="BP2" s="179"/>
      <c r="BQ2" s="179"/>
      <c r="BR2" s="179"/>
      <c r="BS2" s="179"/>
      <c r="BV2" s="179" t="s">
        <v>137</v>
      </c>
      <c r="BW2" s="179"/>
      <c r="BZ2" s="179" t="s">
        <v>174</v>
      </c>
      <c r="CA2" s="179"/>
      <c r="CB2" s="179"/>
      <c r="CC2" s="179"/>
      <c r="CF2" s="179" t="s">
        <v>609</v>
      </c>
      <c r="CG2" s="179"/>
      <c r="CH2" s="179"/>
    </row>
    <row r="3" spans="2:86" ht="16.8" customHeight="1" thickBot="1" x14ac:dyDescent="0.35">
      <c r="B3" s="171" t="s">
        <v>385</v>
      </c>
      <c r="C3" s="172"/>
      <c r="D3" s="172"/>
      <c r="E3" s="173"/>
      <c r="T3" s="171" t="s">
        <v>173</v>
      </c>
      <c r="U3" s="172"/>
      <c r="V3" s="172"/>
      <c r="W3" s="173"/>
      <c r="Z3" s="171" t="s">
        <v>173</v>
      </c>
      <c r="AA3" s="172"/>
      <c r="AB3" s="173"/>
      <c r="AE3" s="179"/>
      <c r="AF3" s="179"/>
      <c r="AI3" s="171" t="s">
        <v>419</v>
      </c>
      <c r="AJ3" s="172"/>
      <c r="AK3" s="172"/>
      <c r="AL3" s="172"/>
      <c r="AM3" s="172"/>
      <c r="AN3" s="172"/>
      <c r="AO3" s="172"/>
      <c r="AP3" s="172"/>
      <c r="AQ3" s="172"/>
      <c r="AR3" s="172"/>
      <c r="AS3" s="173"/>
      <c r="AV3" s="171" t="s">
        <v>717</v>
      </c>
      <c r="AW3" s="172"/>
      <c r="AX3" s="172"/>
      <c r="AY3" s="172"/>
      <c r="AZ3" s="172"/>
      <c r="BA3" s="172"/>
      <c r="BB3" s="172"/>
      <c r="BC3" s="172"/>
      <c r="BD3" s="172"/>
      <c r="BE3" s="172"/>
      <c r="BF3" s="173"/>
      <c r="BI3" s="179" t="s">
        <v>578</v>
      </c>
      <c r="BJ3" s="179"/>
      <c r="BK3" s="179"/>
      <c r="BL3" s="179"/>
      <c r="BM3" s="179"/>
      <c r="BN3" s="179"/>
      <c r="BO3" s="179"/>
      <c r="BP3" s="179"/>
      <c r="BQ3" s="179"/>
      <c r="BR3" s="179"/>
      <c r="BS3" s="179"/>
      <c r="BV3" s="179"/>
      <c r="BW3" s="179"/>
      <c r="BZ3" s="179" t="s">
        <v>173</v>
      </c>
      <c r="CA3" s="179"/>
      <c r="CB3" s="179"/>
      <c r="CC3" s="179"/>
      <c r="CF3" s="179" t="s">
        <v>173</v>
      </c>
      <c r="CG3" s="179"/>
      <c r="CH3" s="179"/>
    </row>
    <row r="4" spans="2:86" ht="16.8" customHeight="1" thickBot="1" x14ac:dyDescent="0.35">
      <c r="B4" s="7" t="s">
        <v>0</v>
      </c>
      <c r="C4" s="7" t="s">
        <v>422</v>
      </c>
      <c r="D4" s="7" t="s">
        <v>2</v>
      </c>
      <c r="E4" s="7" t="s">
        <v>3</v>
      </c>
      <c r="I4" s="7" t="s">
        <v>422</v>
      </c>
      <c r="J4" s="7" t="s">
        <v>2</v>
      </c>
      <c r="K4" s="7" t="s">
        <v>3</v>
      </c>
      <c r="N4" s="5" t="s">
        <v>15</v>
      </c>
      <c r="O4" s="5" t="s">
        <v>16</v>
      </c>
      <c r="P4" s="5" t="s">
        <v>17</v>
      </c>
      <c r="Q4" s="5" t="s">
        <v>18</v>
      </c>
      <c r="T4" s="7" t="s">
        <v>15</v>
      </c>
      <c r="U4" s="7" t="s">
        <v>16</v>
      </c>
      <c r="V4" s="7" t="s">
        <v>17</v>
      </c>
      <c r="W4" s="7" t="s">
        <v>18</v>
      </c>
      <c r="Z4" s="7" t="s">
        <v>15</v>
      </c>
      <c r="AA4" s="7" t="s">
        <v>17</v>
      </c>
      <c r="AB4" s="7" t="s">
        <v>18</v>
      </c>
      <c r="AE4" s="5" t="s">
        <v>15</v>
      </c>
      <c r="AF4" s="5" t="s">
        <v>145</v>
      </c>
      <c r="AI4" s="7" t="s">
        <v>536</v>
      </c>
      <c r="AJ4" s="7" t="s">
        <v>31</v>
      </c>
      <c r="AK4" s="7" t="s">
        <v>575</v>
      </c>
      <c r="AL4" s="7" t="s">
        <v>32</v>
      </c>
      <c r="AM4" s="7" t="s">
        <v>33</v>
      </c>
      <c r="AN4" s="7" t="s">
        <v>582</v>
      </c>
      <c r="AO4" s="7" t="s">
        <v>345</v>
      </c>
      <c r="AP4" s="7" t="s">
        <v>346</v>
      </c>
      <c r="AQ4" s="7" t="s">
        <v>369</v>
      </c>
      <c r="AR4" s="177" t="s">
        <v>514</v>
      </c>
      <c r="AS4" s="178"/>
      <c r="AV4" s="7" t="s">
        <v>536</v>
      </c>
      <c r="AW4" s="7" t="s">
        <v>31</v>
      </c>
      <c r="AX4" s="7" t="s">
        <v>575</v>
      </c>
      <c r="AY4" s="7" t="s">
        <v>32</v>
      </c>
      <c r="AZ4" s="7" t="s">
        <v>33</v>
      </c>
      <c r="BA4" s="7" t="s">
        <v>582</v>
      </c>
      <c r="BB4" s="7" t="s">
        <v>345</v>
      </c>
      <c r="BC4" s="7" t="s">
        <v>346</v>
      </c>
      <c r="BD4" s="7" t="s">
        <v>369</v>
      </c>
      <c r="BE4" s="177" t="s">
        <v>514</v>
      </c>
      <c r="BF4" s="178"/>
      <c r="BI4" s="5" t="s">
        <v>575</v>
      </c>
      <c r="BJ4" s="5" t="s">
        <v>32</v>
      </c>
      <c r="BK4" s="5" t="s">
        <v>33</v>
      </c>
      <c r="BL4" s="5" t="s">
        <v>582</v>
      </c>
      <c r="BM4" s="5" t="s">
        <v>370</v>
      </c>
      <c r="BN4" s="5" t="s">
        <v>549</v>
      </c>
      <c r="BO4" s="5" t="s">
        <v>550</v>
      </c>
      <c r="BP4" s="5" t="s">
        <v>344</v>
      </c>
      <c r="BQ4" s="5" t="s">
        <v>369</v>
      </c>
      <c r="BR4" s="179" t="s">
        <v>514</v>
      </c>
      <c r="BS4" s="179"/>
      <c r="BV4" s="5" t="s">
        <v>97</v>
      </c>
      <c r="BW4" s="5" t="s">
        <v>98</v>
      </c>
      <c r="BZ4" s="5" t="s">
        <v>15</v>
      </c>
      <c r="CA4" s="5" t="s">
        <v>16</v>
      </c>
      <c r="CB4" s="5" t="s">
        <v>17</v>
      </c>
      <c r="CC4" s="5" t="s">
        <v>18</v>
      </c>
      <c r="CF4" s="5" t="s">
        <v>15</v>
      </c>
      <c r="CG4" s="5" t="s">
        <v>17</v>
      </c>
      <c r="CH4" s="5" t="s">
        <v>18</v>
      </c>
    </row>
    <row r="5" spans="2:86" ht="16.8" customHeight="1" x14ac:dyDescent="0.3">
      <c r="B5" s="89" t="s">
        <v>308</v>
      </c>
      <c r="C5" s="10" t="s">
        <v>34</v>
      </c>
      <c r="D5" s="10" t="s">
        <v>8</v>
      </c>
      <c r="E5" s="10" t="s">
        <v>13</v>
      </c>
      <c r="G5" s="119" t="s">
        <v>310</v>
      </c>
      <c r="I5" s="114" t="s">
        <v>34</v>
      </c>
      <c r="J5" s="116" t="s">
        <v>8</v>
      </c>
      <c r="K5" s="184" t="s">
        <v>11</v>
      </c>
      <c r="N5" s="5" t="s">
        <v>19</v>
      </c>
      <c r="O5" s="56">
        <v>5</v>
      </c>
      <c r="P5" s="56">
        <v>15</v>
      </c>
      <c r="Q5" s="56">
        <v>10</v>
      </c>
      <c r="T5" s="10" t="s">
        <v>19</v>
      </c>
      <c r="U5" s="116">
        <v>10</v>
      </c>
      <c r="V5" s="116">
        <v>25</v>
      </c>
      <c r="W5" s="116">
        <v>15</v>
      </c>
      <c r="Z5" s="10" t="s">
        <v>19</v>
      </c>
      <c r="AA5" s="116">
        <v>30</v>
      </c>
      <c r="AB5" s="116">
        <v>20</v>
      </c>
      <c r="AE5" s="5" t="s">
        <v>19</v>
      </c>
      <c r="AF5" s="56">
        <v>12</v>
      </c>
      <c r="AI5" s="48" t="s">
        <v>537</v>
      </c>
      <c r="AJ5" s="48" t="s">
        <v>122</v>
      </c>
      <c r="AK5" s="48" t="s">
        <v>519</v>
      </c>
      <c r="AL5" s="48" t="str">
        <f t="shared" ref="AL5:AL6" si="0">VLOOKUP(AK5, trackList, 2, FALSE)</f>
        <v>Autodromo Jose Carlos Pace</v>
      </c>
      <c r="AM5" s="48" t="str">
        <f>VLOOKUP(AK5, trackList, 3, FALSE)</f>
        <v>Brazil</v>
      </c>
      <c r="AN5" s="48" t="str">
        <f t="shared" ref="AN5:AN18" si="1">VLOOKUP(AK5, trackList, 4, FALSE)</f>
        <v>Road Course</v>
      </c>
      <c r="AO5" s="48" t="str">
        <f t="shared" ref="AO5:AO18" si="2">CONCATENATE(CEILING(VLOOKUP(AN5, lengthDetails, 2, FALSE) / VLOOKUP(AK5, trackList, 5, FALSE), 1), " Laps")</f>
        <v>38 Laps</v>
      </c>
      <c r="AP5" s="48" t="str">
        <f t="shared" ref="AP5:AP18" si="3">CONCATENATE(CEILING(VLOOKUP(AN5, lengthDetails, 3, FALSE) / VLOOKUP(AK5, trackList, 5, FALSE), 1), " Laps")</f>
        <v>31 Laps</v>
      </c>
      <c r="AQ5" s="48" t="str">
        <f t="shared" ref="AQ5:AQ11" si="4">VLOOKUP(AK5, trackList, 9, FALSE)</f>
        <v>Chassis</v>
      </c>
      <c r="AR5" s="46" t="str">
        <f t="shared" ref="AR5:AR11" si="5">VLOOKUP(AK5, trackList, 10, FALSE)</f>
        <v>Aero</v>
      </c>
      <c r="AS5" s="47" t="str">
        <f t="shared" ref="AS5:AS10" si="6">VLOOKUP(AK5, trackList, 11, FALSE)</f>
        <v>Engine</v>
      </c>
      <c r="AV5" s="48" t="s">
        <v>537</v>
      </c>
      <c r="AW5" s="48" t="s">
        <v>116</v>
      </c>
      <c r="AX5" s="48" t="s">
        <v>528</v>
      </c>
      <c r="AY5" s="48" t="str">
        <f t="shared" ref="AY5:AY7" si="7">VLOOKUP(AX5, trackList, 2, FALSE)</f>
        <v>Adelaide Street Circuit</v>
      </c>
      <c r="AZ5" s="48" t="str">
        <f>VLOOKUP(AX5, trackList, 3, FALSE)</f>
        <v>Australia</v>
      </c>
      <c r="BA5" s="48" t="str">
        <f t="shared" ref="BA5:BA6" si="8">VLOOKUP(AX5, trackList, 4, FALSE)</f>
        <v>Street Course</v>
      </c>
      <c r="BB5" s="48" t="str">
        <f t="shared" ref="BB5:BB24" si="9">CONCATENATE(CEILING(VLOOKUP(BA5, lengthDetails, 2, FALSE) / VLOOKUP(AX5, trackList, 5, FALSE), 1), " Laps")</f>
        <v>40 Laps</v>
      </c>
      <c r="BC5" s="48" t="str">
        <f t="shared" ref="BC5:BC24" si="10">CONCATENATE(CEILING(VLOOKUP(BA5, lengthDetails, 3, FALSE) / VLOOKUP(AX5, trackList, 5, FALSE), 1), " Laps")</f>
        <v>34 Laps</v>
      </c>
      <c r="BD5" s="48" t="str">
        <f t="shared" ref="BD5:BD7" si="11">VLOOKUP(AX5, trackList, 9, FALSE)</f>
        <v>Suspension</v>
      </c>
      <c r="BE5" s="46" t="str">
        <f t="shared" ref="BE5:BE7" si="12">VLOOKUP(AX5, trackList, 10, FALSE)</f>
        <v>Chassis</v>
      </c>
      <c r="BF5" s="47" t="str">
        <f t="shared" ref="BF5:BF7" si="13">VLOOKUP(AX5, trackList, 11, FALSE)</f>
        <v>Suspension</v>
      </c>
      <c r="BI5" s="5" t="s">
        <v>528</v>
      </c>
      <c r="BJ5" s="5" t="s">
        <v>96</v>
      </c>
      <c r="BK5" s="5" t="s">
        <v>85</v>
      </c>
      <c r="BL5" s="5" t="s">
        <v>583</v>
      </c>
      <c r="BM5" s="5">
        <v>3.78</v>
      </c>
      <c r="BN5" s="5">
        <v>1</v>
      </c>
      <c r="BO5" s="5">
        <v>1</v>
      </c>
      <c r="BP5" s="5">
        <v>2</v>
      </c>
      <c r="BQ5" s="5" t="s">
        <v>175</v>
      </c>
      <c r="BR5" s="5" t="s">
        <v>1</v>
      </c>
      <c r="BS5" s="5" t="s">
        <v>175</v>
      </c>
      <c r="BV5" s="5" t="s">
        <v>99</v>
      </c>
      <c r="BW5" s="5" t="s">
        <v>108</v>
      </c>
      <c r="BZ5" s="5" t="s">
        <v>19</v>
      </c>
      <c r="CA5" s="5">
        <v>10</v>
      </c>
      <c r="CB5" s="5">
        <v>25</v>
      </c>
      <c r="CC5" s="5">
        <v>15</v>
      </c>
      <c r="CF5" s="5" t="s">
        <v>19</v>
      </c>
      <c r="CG5" s="5">
        <v>30</v>
      </c>
      <c r="CH5" s="5">
        <v>20</v>
      </c>
    </row>
    <row r="6" spans="2:86" ht="16.8" customHeight="1" x14ac:dyDescent="0.3">
      <c r="B6" s="36" t="s">
        <v>339</v>
      </c>
      <c r="C6" s="11" t="s">
        <v>6</v>
      </c>
      <c r="D6" s="11" t="s">
        <v>10</v>
      </c>
      <c r="E6" s="11" t="s">
        <v>12</v>
      </c>
      <c r="G6" s="121" t="s">
        <v>309</v>
      </c>
      <c r="I6" s="72" t="s">
        <v>439</v>
      </c>
      <c r="J6" s="66" t="s">
        <v>7</v>
      </c>
      <c r="K6" s="185"/>
      <c r="N6" s="5" t="s">
        <v>20</v>
      </c>
      <c r="O6" s="122">
        <v>4</v>
      </c>
      <c r="P6" s="122">
        <v>12</v>
      </c>
      <c r="Q6" s="122">
        <v>8</v>
      </c>
      <c r="T6" s="11" t="s">
        <v>20</v>
      </c>
      <c r="U6" s="126">
        <v>8</v>
      </c>
      <c r="V6" s="126">
        <v>18</v>
      </c>
      <c r="W6" s="126">
        <v>12</v>
      </c>
      <c r="Z6" s="11" t="s">
        <v>20</v>
      </c>
      <c r="AA6" s="126">
        <v>22</v>
      </c>
      <c r="AB6" s="126">
        <v>15</v>
      </c>
      <c r="AE6" s="5" t="s">
        <v>20</v>
      </c>
      <c r="AF6" s="122">
        <v>10</v>
      </c>
      <c r="AI6" s="125" t="s">
        <v>538</v>
      </c>
      <c r="AJ6" s="11" t="s">
        <v>123</v>
      </c>
      <c r="AK6" s="11" t="s">
        <v>623</v>
      </c>
      <c r="AL6" s="11" t="str">
        <f t="shared" si="0"/>
        <v>Indianapolis Motor Speedway</v>
      </c>
      <c r="AM6" s="11" t="str">
        <f t="shared" ref="AM6" si="14">VLOOKUP(AK6, trackList, 3, FALSE)</f>
        <v>United States</v>
      </c>
      <c r="AN6" s="11" t="str">
        <f t="shared" si="1"/>
        <v>Speedway</v>
      </c>
      <c r="AO6" s="11" t="str">
        <f t="shared" si="2"/>
        <v>75 Laps</v>
      </c>
      <c r="AP6" s="11" t="str">
        <f t="shared" si="3"/>
        <v>50 Laps</v>
      </c>
      <c r="AQ6" s="11" t="str">
        <f t="shared" si="4"/>
        <v>Aero</v>
      </c>
      <c r="AR6" s="15" t="str">
        <f t="shared" si="5"/>
        <v>Aero</v>
      </c>
      <c r="AS6" s="16" t="str">
        <f t="shared" si="6"/>
        <v>Engine</v>
      </c>
      <c r="AV6" s="11" t="s">
        <v>538</v>
      </c>
      <c r="AW6" s="11" t="s">
        <v>736</v>
      </c>
      <c r="AX6" s="11" t="s">
        <v>627</v>
      </c>
      <c r="AY6" s="11" t="str">
        <f t="shared" si="7"/>
        <v>Shanghai International Circuit</v>
      </c>
      <c r="AZ6" s="11" t="str">
        <f t="shared" ref="AZ6:AZ7" si="15">VLOOKUP(AX6, trackList, 3, FALSE)</f>
        <v>China</v>
      </c>
      <c r="BA6" s="11" t="str">
        <f t="shared" si="8"/>
        <v>Road Course</v>
      </c>
      <c r="BB6" s="11" t="str">
        <f t="shared" si="9"/>
        <v>30 Laps</v>
      </c>
      <c r="BC6" s="11" t="str">
        <f t="shared" si="10"/>
        <v>24 Laps</v>
      </c>
      <c r="BD6" s="11" t="str">
        <f t="shared" si="11"/>
        <v>Aero</v>
      </c>
      <c r="BE6" s="15" t="str">
        <f t="shared" si="12"/>
        <v>Aero</v>
      </c>
      <c r="BF6" s="16" t="str">
        <f t="shared" si="13"/>
        <v>Engine</v>
      </c>
      <c r="BI6" s="5" t="s">
        <v>86</v>
      </c>
      <c r="BJ6" s="5" t="s">
        <v>90</v>
      </c>
      <c r="BK6" s="5" t="s">
        <v>86</v>
      </c>
      <c r="BL6" s="5" t="s">
        <v>584</v>
      </c>
      <c r="BM6" s="5">
        <v>5.4119999999999999</v>
      </c>
      <c r="BN6" s="5">
        <v>4</v>
      </c>
      <c r="BO6" s="5">
        <v>4</v>
      </c>
      <c r="BP6" s="5">
        <v>4</v>
      </c>
      <c r="BQ6" s="5" t="s">
        <v>39</v>
      </c>
      <c r="BR6" s="5" t="s">
        <v>39</v>
      </c>
      <c r="BS6" s="5" t="s">
        <v>2</v>
      </c>
      <c r="BV6" s="5" t="s">
        <v>100</v>
      </c>
      <c r="BW6" s="5" t="s">
        <v>104</v>
      </c>
      <c r="BZ6" s="5" t="s">
        <v>20</v>
      </c>
      <c r="CA6" s="5">
        <v>8</v>
      </c>
      <c r="CB6" s="5">
        <v>18</v>
      </c>
      <c r="CC6" s="5">
        <v>12</v>
      </c>
      <c r="CF6" s="5" t="s">
        <v>20</v>
      </c>
      <c r="CG6" s="5">
        <v>22</v>
      </c>
      <c r="CH6" s="5">
        <v>15</v>
      </c>
    </row>
    <row r="7" spans="2:86" ht="16.8" customHeight="1" x14ac:dyDescent="0.3">
      <c r="B7" s="37" t="s">
        <v>334</v>
      </c>
      <c r="C7" s="11" t="s">
        <v>6</v>
      </c>
      <c r="D7" s="11" t="s">
        <v>10</v>
      </c>
      <c r="E7" s="11" t="s">
        <v>12</v>
      </c>
      <c r="G7" s="119" t="s">
        <v>326</v>
      </c>
      <c r="I7" s="69" t="s">
        <v>5</v>
      </c>
      <c r="J7" s="76" t="s">
        <v>10</v>
      </c>
      <c r="K7" s="67" t="s">
        <v>13</v>
      </c>
      <c r="N7" s="5" t="s">
        <v>21</v>
      </c>
      <c r="O7" s="123">
        <v>3</v>
      </c>
      <c r="P7" s="123">
        <v>10</v>
      </c>
      <c r="Q7" s="123">
        <v>6</v>
      </c>
      <c r="T7" s="11" t="s">
        <v>21</v>
      </c>
      <c r="U7" s="127">
        <v>6</v>
      </c>
      <c r="V7" s="127">
        <v>15</v>
      </c>
      <c r="W7" s="127">
        <v>10</v>
      </c>
      <c r="Z7" s="11" t="s">
        <v>21</v>
      </c>
      <c r="AA7" s="127">
        <v>18</v>
      </c>
      <c r="AB7" s="127">
        <v>12</v>
      </c>
      <c r="AE7" s="5" t="s">
        <v>21</v>
      </c>
      <c r="AF7" s="123">
        <v>8</v>
      </c>
      <c r="AI7" s="125" t="s">
        <v>539</v>
      </c>
      <c r="AJ7" s="11" t="s">
        <v>744</v>
      </c>
      <c r="AK7" s="11" t="s">
        <v>613</v>
      </c>
      <c r="AL7" s="11" t="str">
        <f t="shared" ref="AL7" si="16">VLOOKUP(AK7, trackList, 2, FALSE)</f>
        <v>Texas Motor Speedway</v>
      </c>
      <c r="AM7" s="11" t="str">
        <f t="shared" ref="AM7" si="17">VLOOKUP(AK7, trackList, 3, FALSE)</f>
        <v>United States</v>
      </c>
      <c r="AN7" s="11" t="str">
        <f>VLOOKUP(AK7, trackList, 4, FALSE)</f>
        <v>Speedway</v>
      </c>
      <c r="AO7" s="11" t="str">
        <f t="shared" si="2"/>
        <v>125 Laps</v>
      </c>
      <c r="AP7" s="11" t="str">
        <f t="shared" si="3"/>
        <v>83 Laps</v>
      </c>
      <c r="AQ7" s="11" t="str">
        <f t="shared" si="4"/>
        <v>Aero</v>
      </c>
      <c r="AR7" s="15" t="str">
        <f t="shared" si="5"/>
        <v>Aero</v>
      </c>
      <c r="AS7" s="16" t="str">
        <f t="shared" si="6"/>
        <v>Engine</v>
      </c>
      <c r="AV7" s="11" t="s">
        <v>539</v>
      </c>
      <c r="AW7" s="11" t="s">
        <v>737</v>
      </c>
      <c r="AX7" s="11" t="s">
        <v>527</v>
      </c>
      <c r="AY7" s="11" t="str">
        <f t="shared" si="7"/>
        <v>Sepang International Circuit</v>
      </c>
      <c r="AZ7" s="11" t="str">
        <f t="shared" si="15"/>
        <v>Malaysia</v>
      </c>
      <c r="BA7" s="11" t="str">
        <f>VLOOKUP(AX7, trackList, 4, FALSE)</f>
        <v>Road Course</v>
      </c>
      <c r="BB7" s="11" t="str">
        <f t="shared" si="9"/>
        <v>29 Laps</v>
      </c>
      <c r="BC7" s="11" t="str">
        <f t="shared" si="10"/>
        <v>24 Laps</v>
      </c>
      <c r="BD7" s="11" t="str">
        <f t="shared" si="11"/>
        <v>Aero</v>
      </c>
      <c r="BE7" s="15" t="str">
        <f t="shared" si="12"/>
        <v>Chassis</v>
      </c>
      <c r="BF7" s="16" t="str">
        <f t="shared" si="13"/>
        <v>Engine</v>
      </c>
      <c r="BI7" s="5" t="s">
        <v>522</v>
      </c>
      <c r="BJ7" s="5" t="s">
        <v>91</v>
      </c>
      <c r="BK7" s="5" t="s">
        <v>36</v>
      </c>
      <c r="BL7" s="5" t="s">
        <v>584</v>
      </c>
      <c r="BM7" s="5">
        <v>4.4279999999999999</v>
      </c>
      <c r="BN7" s="5">
        <v>2</v>
      </c>
      <c r="BO7" s="5">
        <v>3</v>
      </c>
      <c r="BP7" s="5">
        <v>3</v>
      </c>
      <c r="BQ7" s="5" t="s">
        <v>1</v>
      </c>
      <c r="BR7" s="5" t="s">
        <v>1</v>
      </c>
      <c r="BS7" s="5" t="s">
        <v>175</v>
      </c>
      <c r="BV7" s="5" t="s">
        <v>101</v>
      </c>
      <c r="BW7" s="5" t="s">
        <v>105</v>
      </c>
      <c r="BZ7" s="5" t="s">
        <v>21</v>
      </c>
      <c r="CA7" s="5">
        <v>6</v>
      </c>
      <c r="CB7" s="5">
        <v>15</v>
      </c>
      <c r="CC7" s="5">
        <v>10</v>
      </c>
      <c r="CF7" s="5" t="s">
        <v>21</v>
      </c>
      <c r="CG7" s="5">
        <v>18</v>
      </c>
      <c r="CH7" s="5">
        <v>12</v>
      </c>
    </row>
    <row r="8" spans="2:86" ht="16.8" customHeight="1" thickBot="1" x14ac:dyDescent="0.35">
      <c r="B8" s="131" t="s">
        <v>605</v>
      </c>
      <c r="C8" s="11" t="s">
        <v>5</v>
      </c>
      <c r="D8" s="11" t="s">
        <v>7</v>
      </c>
      <c r="E8" s="11" t="s">
        <v>11</v>
      </c>
      <c r="G8" s="119" t="s">
        <v>326</v>
      </c>
      <c r="I8" s="115" t="s">
        <v>6</v>
      </c>
      <c r="J8" s="117" t="s">
        <v>9</v>
      </c>
      <c r="K8" s="118" t="s">
        <v>12</v>
      </c>
      <c r="N8" s="5" t="s">
        <v>22</v>
      </c>
      <c r="O8" s="124">
        <v>2</v>
      </c>
      <c r="P8" s="124">
        <v>8</v>
      </c>
      <c r="Q8" s="124">
        <v>5</v>
      </c>
      <c r="T8" s="11" t="s">
        <v>22</v>
      </c>
      <c r="U8" s="128">
        <v>5</v>
      </c>
      <c r="V8" s="128">
        <v>12</v>
      </c>
      <c r="W8" s="128">
        <v>9</v>
      </c>
      <c r="Z8" s="11" t="s">
        <v>22</v>
      </c>
      <c r="AA8" s="128">
        <v>15</v>
      </c>
      <c r="AB8" s="128">
        <v>10</v>
      </c>
      <c r="AE8" s="5" t="s">
        <v>22</v>
      </c>
      <c r="AF8" s="124">
        <v>7</v>
      </c>
      <c r="AI8" s="11" t="s">
        <v>540</v>
      </c>
      <c r="AJ8" s="11" t="s">
        <v>121</v>
      </c>
      <c r="AK8" s="11" t="s">
        <v>521</v>
      </c>
      <c r="AL8" s="11" t="str">
        <f>VLOOKUP(AK8, trackList, 2, FALSE)</f>
        <v>Kyalami Grand Prix Circuit</v>
      </c>
      <c r="AM8" s="11" t="str">
        <f>VLOOKUP(AK8, trackList, 3, FALSE)</f>
        <v>South Africa</v>
      </c>
      <c r="AN8" s="11" t="str">
        <f t="shared" si="1"/>
        <v>Road Course</v>
      </c>
      <c r="AO8" s="11" t="str">
        <f t="shared" si="2"/>
        <v>36 Laps</v>
      </c>
      <c r="AP8" s="11" t="str">
        <f t="shared" si="3"/>
        <v>29 Laps</v>
      </c>
      <c r="AQ8" s="11" t="str">
        <f t="shared" si="4"/>
        <v>Suspension</v>
      </c>
      <c r="AR8" s="15" t="str">
        <f t="shared" si="5"/>
        <v>Chassis</v>
      </c>
      <c r="AS8" s="16" t="str">
        <f t="shared" si="6"/>
        <v>Suspension</v>
      </c>
      <c r="AV8" s="11" t="s">
        <v>540</v>
      </c>
      <c r="AW8" s="11" t="s">
        <v>568</v>
      </c>
      <c r="AX8" s="11" t="s">
        <v>570</v>
      </c>
      <c r="AY8" s="11" t="str">
        <f>VLOOKUP(AX8, trackList, 2, FALSE)</f>
        <v>Marina Bay Street Circuit</v>
      </c>
      <c r="AZ8" s="11" t="str">
        <f>VLOOKUP(AX8, trackList, 3, FALSE)</f>
        <v>Singapore</v>
      </c>
      <c r="BA8" s="11" t="str">
        <f t="shared" ref="BA8:BA17" si="18">VLOOKUP(AX8, trackList, 4, FALSE)</f>
        <v>Street Course</v>
      </c>
      <c r="BB8" s="11" t="str">
        <f t="shared" si="9"/>
        <v>31 Laps</v>
      </c>
      <c r="BC8" s="11" t="str">
        <f t="shared" si="10"/>
        <v>26 Laps</v>
      </c>
      <c r="BD8" s="11" t="str">
        <f>VLOOKUP(AX8, trackList, 9, FALSE)</f>
        <v>Suspension</v>
      </c>
      <c r="BE8" s="15" t="str">
        <f>VLOOKUP(AX8, trackList, 10, FALSE)</f>
        <v>Aero</v>
      </c>
      <c r="BF8" s="16" t="str">
        <f>VLOOKUP(AX8, trackList, 11, FALSE)</f>
        <v>Engine</v>
      </c>
      <c r="BI8" s="5" t="s">
        <v>525</v>
      </c>
      <c r="BJ8" s="5" t="s">
        <v>93</v>
      </c>
      <c r="BK8" s="5" t="s">
        <v>37</v>
      </c>
      <c r="BL8" s="5" t="s">
        <v>584</v>
      </c>
      <c r="BM8" s="5">
        <v>5.2450000000000001</v>
      </c>
      <c r="BN8" s="5">
        <v>4</v>
      </c>
      <c r="BO8" s="5">
        <v>4</v>
      </c>
      <c r="BP8" s="5">
        <v>4</v>
      </c>
      <c r="BQ8" s="5" t="s">
        <v>39</v>
      </c>
      <c r="BR8" s="5" t="s">
        <v>39</v>
      </c>
      <c r="BS8" s="5" t="s">
        <v>2</v>
      </c>
      <c r="BV8" s="5" t="s">
        <v>102</v>
      </c>
      <c r="BW8" s="5" t="s">
        <v>106</v>
      </c>
      <c r="BZ8" s="5" t="s">
        <v>22</v>
      </c>
      <c r="CA8" s="5">
        <v>5</v>
      </c>
      <c r="CB8" s="5">
        <v>12</v>
      </c>
      <c r="CC8" s="5">
        <v>9</v>
      </c>
      <c r="CF8" s="5" t="s">
        <v>22</v>
      </c>
      <c r="CG8" s="5">
        <v>15</v>
      </c>
      <c r="CH8" s="5">
        <v>10</v>
      </c>
    </row>
    <row r="9" spans="2:86" ht="16.8" customHeight="1" x14ac:dyDescent="0.3">
      <c r="B9" s="139" t="s">
        <v>607</v>
      </c>
      <c r="C9" s="11" t="s">
        <v>439</v>
      </c>
      <c r="D9" s="11" t="s">
        <v>10</v>
      </c>
      <c r="E9" s="11" t="s">
        <v>13</v>
      </c>
      <c r="G9" s="121" t="s">
        <v>309</v>
      </c>
      <c r="N9" s="5" t="s">
        <v>23</v>
      </c>
      <c r="O9" s="124">
        <v>1</v>
      </c>
      <c r="P9" s="124">
        <v>6</v>
      </c>
      <c r="Q9" s="124">
        <v>4</v>
      </c>
      <c r="T9" s="11" t="s">
        <v>23</v>
      </c>
      <c r="U9" s="128">
        <v>4</v>
      </c>
      <c r="V9" s="128">
        <v>10</v>
      </c>
      <c r="W9" s="128">
        <v>8</v>
      </c>
      <c r="Z9" s="11" t="s">
        <v>23</v>
      </c>
      <c r="AA9" s="128">
        <v>12</v>
      </c>
      <c r="AB9" s="128">
        <v>8</v>
      </c>
      <c r="AE9" s="5" t="s">
        <v>23</v>
      </c>
      <c r="AF9" s="124">
        <v>6</v>
      </c>
      <c r="AI9" s="11" t="s">
        <v>541</v>
      </c>
      <c r="AJ9" s="11" t="s">
        <v>117</v>
      </c>
      <c r="AK9" s="11" t="s">
        <v>522</v>
      </c>
      <c r="AL9" s="11" t="str">
        <f>VLOOKUP(AK9, trackList, 2, FALSE)</f>
        <v>Circuito de Jerez Angel Nieto</v>
      </c>
      <c r="AM9" s="11" t="str">
        <f>VLOOKUP(AK9, trackList, 3, FALSE)</f>
        <v>Spain</v>
      </c>
      <c r="AN9" s="11" t="str">
        <f t="shared" si="1"/>
        <v>Road Course</v>
      </c>
      <c r="AO9" s="11" t="str">
        <f t="shared" si="2"/>
        <v>37 Laps</v>
      </c>
      <c r="AP9" s="11" t="str">
        <f t="shared" si="3"/>
        <v>30 Laps</v>
      </c>
      <c r="AQ9" s="11" t="str">
        <f t="shared" si="4"/>
        <v>Chassis</v>
      </c>
      <c r="AR9" s="15" t="str">
        <f t="shared" si="5"/>
        <v>Chassis</v>
      </c>
      <c r="AS9" s="16" t="str">
        <f t="shared" si="6"/>
        <v>Suspension</v>
      </c>
      <c r="AV9" s="11" t="s">
        <v>541</v>
      </c>
      <c r="AW9" s="11" t="s">
        <v>428</v>
      </c>
      <c r="AX9" s="11" t="s">
        <v>526</v>
      </c>
      <c r="AY9" s="11" t="str">
        <f>VLOOKUP(AX9, trackList, 2, FALSE)</f>
        <v>Suzuka Circuit</v>
      </c>
      <c r="AZ9" s="11" t="str">
        <f>VLOOKUP(AX9, trackList, 3, FALSE)</f>
        <v>Japan</v>
      </c>
      <c r="BA9" s="11" t="str">
        <f t="shared" si="18"/>
        <v>Road Course</v>
      </c>
      <c r="BB9" s="11" t="str">
        <f t="shared" si="9"/>
        <v>28 Laps</v>
      </c>
      <c r="BC9" s="11" t="str">
        <f t="shared" si="10"/>
        <v>23 Laps</v>
      </c>
      <c r="BD9" s="11" t="str">
        <f>VLOOKUP(AX9, trackList, 9, FALSE)</f>
        <v>Chassis</v>
      </c>
      <c r="BE9" s="15" t="str">
        <f>VLOOKUP(AX9, trackList, 10, FALSE)</f>
        <v>Aero</v>
      </c>
      <c r="BF9" s="16" t="str">
        <f>VLOOKUP(AX9, trackList, 11, FALSE)</f>
        <v>Chassis</v>
      </c>
      <c r="BI9" s="5" t="s">
        <v>524</v>
      </c>
      <c r="BJ9" s="5" t="s">
        <v>92</v>
      </c>
      <c r="BK9" s="5" t="s">
        <v>38</v>
      </c>
      <c r="BL9" s="5" t="s">
        <v>584</v>
      </c>
      <c r="BM9" s="5">
        <v>5.891</v>
      </c>
      <c r="BN9" s="5">
        <v>5</v>
      </c>
      <c r="BO9" s="5">
        <v>4</v>
      </c>
      <c r="BP9" s="5">
        <v>4</v>
      </c>
      <c r="BQ9" s="5" t="s">
        <v>39</v>
      </c>
      <c r="BR9" s="5" t="s">
        <v>39</v>
      </c>
      <c r="BS9" s="5" t="s">
        <v>2</v>
      </c>
      <c r="BV9" s="5" t="s">
        <v>103</v>
      </c>
      <c r="BW9" s="5" t="s">
        <v>107</v>
      </c>
      <c r="BZ9" s="5" t="s">
        <v>23</v>
      </c>
      <c r="CA9" s="5">
        <v>4</v>
      </c>
      <c r="CB9" s="5">
        <v>10</v>
      </c>
      <c r="CC9" s="5">
        <v>8</v>
      </c>
      <c r="CF9" s="5" t="s">
        <v>23</v>
      </c>
      <c r="CG9" s="5">
        <v>12</v>
      </c>
      <c r="CH9" s="5">
        <v>8</v>
      </c>
    </row>
    <row r="10" spans="2:86" ht="16.8" customHeight="1" x14ac:dyDescent="0.3">
      <c r="B10" s="40" t="s">
        <v>325</v>
      </c>
      <c r="C10" s="11" t="s">
        <v>5</v>
      </c>
      <c r="D10" s="11" t="s">
        <v>9</v>
      </c>
      <c r="E10" s="11" t="s">
        <v>12</v>
      </c>
      <c r="G10" s="119" t="s">
        <v>324</v>
      </c>
      <c r="N10" s="5" t="s">
        <v>24</v>
      </c>
      <c r="O10" s="5"/>
      <c r="P10" s="124">
        <v>5</v>
      </c>
      <c r="Q10" s="124">
        <v>3</v>
      </c>
      <c r="T10" s="11" t="s">
        <v>24</v>
      </c>
      <c r="U10" s="128">
        <v>3</v>
      </c>
      <c r="V10" s="128">
        <v>8</v>
      </c>
      <c r="W10" s="128">
        <v>7</v>
      </c>
      <c r="Z10" s="11" t="s">
        <v>24</v>
      </c>
      <c r="AA10" s="128">
        <v>10</v>
      </c>
      <c r="AB10" s="128">
        <v>7</v>
      </c>
      <c r="AE10" s="5" t="s">
        <v>24</v>
      </c>
      <c r="AF10" s="124">
        <v>5</v>
      </c>
      <c r="AI10" s="11" t="s">
        <v>542</v>
      </c>
      <c r="AJ10" s="11" t="s">
        <v>622</v>
      </c>
      <c r="AK10" s="11" t="s">
        <v>523</v>
      </c>
      <c r="AL10" s="11" t="str">
        <f>VLOOKUP(AK10, trackList, 2, FALSE)</f>
        <v>Circuit de Magny-Cours Nevers</v>
      </c>
      <c r="AM10" s="11" t="str">
        <f>VLOOKUP(AK10, trackList, 3, FALSE)</f>
        <v>France</v>
      </c>
      <c r="AN10" s="11" t="str">
        <f t="shared" si="1"/>
        <v>Road Course</v>
      </c>
      <c r="AO10" s="11" t="str">
        <f t="shared" si="2"/>
        <v>37 Laps</v>
      </c>
      <c r="AP10" s="11" t="str">
        <f t="shared" si="3"/>
        <v>30 Laps</v>
      </c>
      <c r="AQ10" s="11" t="str">
        <f t="shared" si="4"/>
        <v>Suspension</v>
      </c>
      <c r="AR10" s="15" t="str">
        <f t="shared" si="5"/>
        <v>Chassis</v>
      </c>
      <c r="AS10" s="16" t="str">
        <f t="shared" si="6"/>
        <v>Suspension</v>
      </c>
      <c r="AV10" s="11" t="s">
        <v>542</v>
      </c>
      <c r="AW10" s="11" t="s">
        <v>745</v>
      </c>
      <c r="AX10" s="11" t="s">
        <v>724</v>
      </c>
      <c r="AY10" s="125" t="str">
        <f>VLOOKUP(AX10, trackList, 2, FALSE)</f>
        <v>Twin Ring Motegi Oval</v>
      </c>
      <c r="AZ10" s="11" t="str">
        <f>VLOOKUP(AX10, trackList, 3, FALSE)</f>
        <v>Japan</v>
      </c>
      <c r="BA10" s="11" t="str">
        <f t="shared" si="18"/>
        <v>Speedway</v>
      </c>
      <c r="BB10" s="11" t="str">
        <f t="shared" si="9"/>
        <v>121 Laps</v>
      </c>
      <c r="BC10" s="11" t="str">
        <f t="shared" si="10"/>
        <v>81 Laps</v>
      </c>
      <c r="BD10" s="11" t="str">
        <f>VLOOKUP(AX10, trackList, 9, FALSE)</f>
        <v>Aero</v>
      </c>
      <c r="BE10" s="15" t="str">
        <f>VLOOKUP(AX10, trackList, 10, FALSE)</f>
        <v>Aero</v>
      </c>
      <c r="BF10" s="16" t="str">
        <f>VLOOKUP(AX10, trackList, 11, FALSE)</f>
        <v>Engine</v>
      </c>
      <c r="BI10" s="5" t="s">
        <v>523</v>
      </c>
      <c r="BJ10" s="5" t="s">
        <v>94</v>
      </c>
      <c r="BK10" s="5" t="s">
        <v>83</v>
      </c>
      <c r="BL10" s="5" t="s">
        <v>584</v>
      </c>
      <c r="BM10" s="5">
        <v>4.4109999999999996</v>
      </c>
      <c r="BN10" s="5">
        <v>2</v>
      </c>
      <c r="BO10" s="5">
        <v>3</v>
      </c>
      <c r="BP10" s="5">
        <v>3</v>
      </c>
      <c r="BQ10" s="5" t="s">
        <v>175</v>
      </c>
      <c r="BR10" s="5" t="s">
        <v>1</v>
      </c>
      <c r="BS10" s="5" t="s">
        <v>175</v>
      </c>
      <c r="BZ10" s="5" t="s">
        <v>24</v>
      </c>
      <c r="CA10" s="5">
        <v>3</v>
      </c>
      <c r="CB10" s="5">
        <v>8</v>
      </c>
      <c r="CC10" s="5">
        <v>7</v>
      </c>
      <c r="CF10" s="5" t="s">
        <v>24</v>
      </c>
      <c r="CG10" s="5">
        <v>10</v>
      </c>
      <c r="CH10" s="5">
        <v>7</v>
      </c>
    </row>
    <row r="11" spans="2:86" ht="16.8" customHeight="1" x14ac:dyDescent="0.3">
      <c r="B11" s="41" t="s">
        <v>554</v>
      </c>
      <c r="C11" s="11" t="s">
        <v>439</v>
      </c>
      <c r="D11" s="11" t="s">
        <v>7</v>
      </c>
      <c r="E11" s="11" t="s">
        <v>11</v>
      </c>
      <c r="G11" s="119" t="s">
        <v>553</v>
      </c>
      <c r="K11" s="2" t="s">
        <v>13</v>
      </c>
      <c r="N11" s="5" t="s">
        <v>25</v>
      </c>
      <c r="O11" s="5"/>
      <c r="P11" s="124">
        <v>4</v>
      </c>
      <c r="Q11" s="124">
        <v>2</v>
      </c>
      <c r="T11" s="11" t="s">
        <v>25</v>
      </c>
      <c r="U11" s="128">
        <v>2</v>
      </c>
      <c r="V11" s="128">
        <v>6</v>
      </c>
      <c r="W11" s="128">
        <v>6</v>
      </c>
      <c r="Z11" s="11" t="s">
        <v>25</v>
      </c>
      <c r="AA11" s="128">
        <v>9</v>
      </c>
      <c r="AB11" s="128">
        <v>6</v>
      </c>
      <c r="AE11" s="5" t="s">
        <v>25</v>
      </c>
      <c r="AF11" s="124">
        <v>4</v>
      </c>
      <c r="AI11" s="11" t="s">
        <v>543</v>
      </c>
      <c r="AJ11" s="11" t="s">
        <v>590</v>
      </c>
      <c r="AK11" s="11" t="s">
        <v>574</v>
      </c>
      <c r="AL11" s="11" t="str">
        <f t="shared" ref="AL11" si="19">VLOOKUP(AK11, trackList, 2, FALSE)</f>
        <v>Circuit de Monaco</v>
      </c>
      <c r="AM11" s="11" t="str">
        <f t="shared" ref="AM11" si="20">VLOOKUP(AK11, trackList, 3, FALSE)</f>
        <v>Monaco</v>
      </c>
      <c r="AN11" s="11" t="str">
        <f t="shared" si="1"/>
        <v>Street Course</v>
      </c>
      <c r="AO11" s="11" t="str">
        <f t="shared" si="2"/>
        <v>45 Laps</v>
      </c>
      <c r="AP11" s="11" t="str">
        <f t="shared" si="3"/>
        <v>38 Laps</v>
      </c>
      <c r="AQ11" s="11" t="str">
        <f t="shared" si="4"/>
        <v>Chassis</v>
      </c>
      <c r="AR11" s="15" t="str">
        <f t="shared" si="5"/>
        <v>Aero</v>
      </c>
      <c r="AS11" s="16" t="str">
        <f t="shared" ref="AS11" si="21">VLOOKUP(AK11, trackList, 11, FALSE)</f>
        <v>Chassis</v>
      </c>
      <c r="AV11" s="11" t="s">
        <v>543</v>
      </c>
      <c r="AW11" s="11" t="s">
        <v>738</v>
      </c>
      <c r="AX11" s="11" t="s">
        <v>728</v>
      </c>
      <c r="AY11" s="125" t="str">
        <f t="shared" ref="AY11:AY17" si="22">VLOOKUP(AX11, trackList, 2, FALSE)</f>
        <v>Circuito do Estoril</v>
      </c>
      <c r="AZ11" s="11" t="str">
        <f t="shared" ref="AZ11:AZ17" si="23">VLOOKUP(AX11, trackList, 3, FALSE)</f>
        <v>Portugal</v>
      </c>
      <c r="BA11" s="11" t="str">
        <f t="shared" si="18"/>
        <v>Road Course</v>
      </c>
      <c r="BB11" s="11" t="str">
        <f t="shared" si="9"/>
        <v>39 Laps</v>
      </c>
      <c r="BC11" s="11" t="str">
        <f t="shared" si="10"/>
        <v>32 Laps</v>
      </c>
      <c r="BD11" s="11" t="str">
        <f t="shared" ref="BD11:BD17" si="24">VLOOKUP(AX11, trackList, 9, FALSE)</f>
        <v>Aero</v>
      </c>
      <c r="BE11" s="15" t="str">
        <f t="shared" ref="BE11:BE17" si="25">VLOOKUP(AX11, trackList, 10, FALSE)</f>
        <v>Chassis</v>
      </c>
      <c r="BF11" s="16" t="str">
        <f t="shared" ref="BF11:BF17" si="26">VLOOKUP(AX11, trackList, 11, FALSE)</f>
        <v>Engine</v>
      </c>
      <c r="BI11" s="5" t="s">
        <v>529</v>
      </c>
      <c r="BJ11" s="5" t="s">
        <v>110</v>
      </c>
      <c r="BK11" s="5" t="s">
        <v>84</v>
      </c>
      <c r="BL11" s="5" t="s">
        <v>584</v>
      </c>
      <c r="BM11" s="5">
        <v>5.1479999999999997</v>
      </c>
      <c r="BN11" s="5">
        <v>3</v>
      </c>
      <c r="BO11" s="5">
        <v>3</v>
      </c>
      <c r="BP11" s="5">
        <v>3</v>
      </c>
      <c r="BQ11" s="5" t="s">
        <v>1</v>
      </c>
      <c r="BR11" s="5" t="s">
        <v>39</v>
      </c>
      <c r="BS11" s="5" t="s">
        <v>1</v>
      </c>
      <c r="BZ11" s="5" t="s">
        <v>25</v>
      </c>
      <c r="CA11" s="5">
        <v>2</v>
      </c>
      <c r="CB11" s="5">
        <v>6</v>
      </c>
      <c r="CC11" s="5">
        <v>6</v>
      </c>
      <c r="CF11" s="5" t="s">
        <v>25</v>
      </c>
      <c r="CG11" s="5">
        <v>9</v>
      </c>
      <c r="CH11" s="5">
        <v>6</v>
      </c>
    </row>
    <row r="12" spans="2:86" ht="16.8" customHeight="1" x14ac:dyDescent="0.3">
      <c r="B12" s="42" t="s">
        <v>335</v>
      </c>
      <c r="C12" s="11" t="s">
        <v>34</v>
      </c>
      <c r="D12" s="11" t="s">
        <v>8</v>
      </c>
      <c r="E12" s="11" t="s">
        <v>12</v>
      </c>
      <c r="G12" s="120" t="s">
        <v>336</v>
      </c>
      <c r="K12" s="1" t="s">
        <v>14</v>
      </c>
      <c r="N12" s="5" t="s">
        <v>26</v>
      </c>
      <c r="O12" s="5"/>
      <c r="P12" s="124">
        <v>3</v>
      </c>
      <c r="Q12" s="124">
        <v>1</v>
      </c>
      <c r="T12" s="11" t="s">
        <v>26</v>
      </c>
      <c r="U12" s="128">
        <v>1</v>
      </c>
      <c r="V12" s="128">
        <v>5</v>
      </c>
      <c r="W12" s="128">
        <v>5</v>
      </c>
      <c r="Z12" s="11" t="s">
        <v>26</v>
      </c>
      <c r="AA12" s="128">
        <v>8</v>
      </c>
      <c r="AB12" s="128">
        <v>5</v>
      </c>
      <c r="AE12" s="5" t="s">
        <v>26</v>
      </c>
      <c r="AF12" s="124">
        <v>3</v>
      </c>
      <c r="AI12" s="11" t="s">
        <v>544</v>
      </c>
      <c r="AJ12" s="11" t="s">
        <v>120</v>
      </c>
      <c r="AK12" s="11" t="s">
        <v>529</v>
      </c>
      <c r="AL12" s="11" t="str">
        <f t="shared" ref="AL12:AL18" si="27">VLOOKUP(AK12, trackList, 2, FALSE)</f>
        <v>Nurburgring GP Circuit</v>
      </c>
      <c r="AM12" s="11" t="str">
        <f t="shared" ref="AM12:AM18" si="28">VLOOKUP(AK12, trackList, 3, FALSE)</f>
        <v>Germany</v>
      </c>
      <c r="AN12" s="11" t="str">
        <f t="shared" si="1"/>
        <v>Road Course</v>
      </c>
      <c r="AO12" s="11" t="str">
        <f t="shared" si="2"/>
        <v>32 Laps</v>
      </c>
      <c r="AP12" s="11" t="str">
        <f t="shared" si="3"/>
        <v>26 Laps</v>
      </c>
      <c r="AQ12" s="11" t="str">
        <f t="shared" ref="AQ12:AQ18" si="29">VLOOKUP(AK12, trackList, 9, FALSE)</f>
        <v>Chassis</v>
      </c>
      <c r="AR12" s="15" t="str">
        <f t="shared" ref="AR12:AR18" si="30">VLOOKUP(AK12, trackList, 10, FALSE)</f>
        <v>Aero</v>
      </c>
      <c r="AS12" s="16" t="str">
        <f t="shared" ref="AS12:AS18" si="31">VLOOKUP(AK12, trackList, 11, FALSE)</f>
        <v>Chassis</v>
      </c>
      <c r="AV12" s="11" t="s">
        <v>544</v>
      </c>
      <c r="AW12" s="11" t="s">
        <v>117</v>
      </c>
      <c r="AX12" s="11" t="s">
        <v>522</v>
      </c>
      <c r="AY12" s="11" t="str">
        <f t="shared" si="22"/>
        <v>Circuito de Jerez Angel Nieto</v>
      </c>
      <c r="AZ12" s="11" t="str">
        <f t="shared" si="23"/>
        <v>Spain</v>
      </c>
      <c r="BA12" s="11" t="str">
        <f t="shared" si="18"/>
        <v>Road Course</v>
      </c>
      <c r="BB12" s="11" t="str">
        <f t="shared" si="9"/>
        <v>37 Laps</v>
      </c>
      <c r="BC12" s="11" t="str">
        <f t="shared" si="10"/>
        <v>30 Laps</v>
      </c>
      <c r="BD12" s="11" t="str">
        <f t="shared" si="24"/>
        <v>Chassis</v>
      </c>
      <c r="BE12" s="15" t="str">
        <f t="shared" si="25"/>
        <v>Chassis</v>
      </c>
      <c r="BF12" s="16" t="str">
        <f t="shared" si="26"/>
        <v>Suspension</v>
      </c>
      <c r="BI12" s="5" t="s">
        <v>521</v>
      </c>
      <c r="BJ12" s="5" t="s">
        <v>95</v>
      </c>
      <c r="BK12" s="5" t="s">
        <v>89</v>
      </c>
      <c r="BL12" s="5" t="s">
        <v>584</v>
      </c>
      <c r="BM12" s="5">
        <v>4.5289999999999999</v>
      </c>
      <c r="BN12" s="5">
        <v>2</v>
      </c>
      <c r="BO12" s="5">
        <v>4</v>
      </c>
      <c r="BP12" s="5">
        <v>4</v>
      </c>
      <c r="BQ12" s="5" t="s">
        <v>175</v>
      </c>
      <c r="BR12" s="5" t="s">
        <v>1</v>
      </c>
      <c r="BS12" s="5" t="s">
        <v>175</v>
      </c>
      <c r="BV12" s="179" t="s">
        <v>138</v>
      </c>
      <c r="BW12" s="179"/>
      <c r="BZ12" s="5" t="s">
        <v>26</v>
      </c>
      <c r="CA12" s="5">
        <v>1</v>
      </c>
      <c r="CB12" s="5">
        <v>5</v>
      </c>
      <c r="CC12" s="5">
        <v>5</v>
      </c>
      <c r="CF12" s="5" t="s">
        <v>26</v>
      </c>
      <c r="CG12" s="5">
        <v>8</v>
      </c>
      <c r="CH12" s="5">
        <v>5</v>
      </c>
    </row>
    <row r="13" spans="2:86" ht="16.8" customHeight="1" x14ac:dyDescent="0.3">
      <c r="B13" s="43" t="s">
        <v>437</v>
      </c>
      <c r="C13" s="11" t="s">
        <v>34</v>
      </c>
      <c r="D13" s="11" t="s">
        <v>10</v>
      </c>
      <c r="E13" s="11" t="s">
        <v>12</v>
      </c>
      <c r="G13" s="119" t="s">
        <v>438</v>
      </c>
      <c r="N13" s="5" t="s">
        <v>27</v>
      </c>
      <c r="O13" s="5"/>
      <c r="P13" s="124">
        <v>2</v>
      </c>
      <c r="Q13" s="5"/>
      <c r="T13" s="11" t="s">
        <v>27</v>
      </c>
      <c r="U13" s="11"/>
      <c r="V13" s="128">
        <v>4</v>
      </c>
      <c r="W13" s="128">
        <v>4</v>
      </c>
      <c r="Z13" s="11" t="s">
        <v>27</v>
      </c>
      <c r="AA13" s="128">
        <v>7</v>
      </c>
      <c r="AB13" s="128">
        <v>4</v>
      </c>
      <c r="AE13" s="5" t="s">
        <v>27</v>
      </c>
      <c r="AF13" s="124">
        <v>2</v>
      </c>
      <c r="AI13" s="11" t="s">
        <v>545</v>
      </c>
      <c r="AJ13" s="11" t="s">
        <v>119</v>
      </c>
      <c r="AK13" s="11" t="s">
        <v>524</v>
      </c>
      <c r="AL13" s="11" t="str">
        <f t="shared" si="27"/>
        <v>Silverstone Circuit</v>
      </c>
      <c r="AM13" s="11" t="str">
        <f t="shared" si="28"/>
        <v>United Kingdom</v>
      </c>
      <c r="AN13" s="11" t="str">
        <f t="shared" si="1"/>
        <v>Road Course</v>
      </c>
      <c r="AO13" s="11" t="str">
        <f t="shared" si="2"/>
        <v>28 Laps</v>
      </c>
      <c r="AP13" s="11" t="str">
        <f t="shared" si="3"/>
        <v>23 Laps</v>
      </c>
      <c r="AQ13" s="11" t="str">
        <f t="shared" si="29"/>
        <v>Aero</v>
      </c>
      <c r="AR13" s="15" t="str">
        <f t="shared" si="30"/>
        <v>Aero</v>
      </c>
      <c r="AS13" s="16" t="str">
        <f t="shared" si="31"/>
        <v>Engine</v>
      </c>
      <c r="AV13" s="11" t="s">
        <v>545</v>
      </c>
      <c r="AW13" s="11" t="s">
        <v>622</v>
      </c>
      <c r="AX13" s="11" t="s">
        <v>523</v>
      </c>
      <c r="AY13" s="11" t="str">
        <f t="shared" si="22"/>
        <v>Circuit de Magny-Cours Nevers</v>
      </c>
      <c r="AZ13" s="11" t="str">
        <f t="shared" si="23"/>
        <v>France</v>
      </c>
      <c r="BA13" s="11" t="str">
        <f t="shared" si="18"/>
        <v>Road Course</v>
      </c>
      <c r="BB13" s="11" t="str">
        <f t="shared" si="9"/>
        <v>37 Laps</v>
      </c>
      <c r="BC13" s="11" t="str">
        <f t="shared" si="10"/>
        <v>30 Laps</v>
      </c>
      <c r="BD13" s="11" t="str">
        <f t="shared" si="24"/>
        <v>Suspension</v>
      </c>
      <c r="BE13" s="15" t="str">
        <f t="shared" si="25"/>
        <v>Chassis</v>
      </c>
      <c r="BF13" s="16" t="str">
        <f t="shared" si="26"/>
        <v>Suspension</v>
      </c>
      <c r="BI13" s="5" t="s">
        <v>519</v>
      </c>
      <c r="BJ13" s="5" t="s">
        <v>87</v>
      </c>
      <c r="BK13" s="5" t="s">
        <v>88</v>
      </c>
      <c r="BL13" s="5" t="s">
        <v>584</v>
      </c>
      <c r="BM13" s="5">
        <v>4.3090000000000002</v>
      </c>
      <c r="BN13" s="5">
        <v>4</v>
      </c>
      <c r="BO13" s="5">
        <v>3</v>
      </c>
      <c r="BP13" s="5">
        <v>3</v>
      </c>
      <c r="BQ13" s="5" t="s">
        <v>1</v>
      </c>
      <c r="BR13" s="5" t="s">
        <v>39</v>
      </c>
      <c r="BS13" s="5" t="s">
        <v>2</v>
      </c>
      <c r="BV13" s="179"/>
      <c r="BW13" s="179"/>
      <c r="BZ13" s="5" t="s">
        <v>27</v>
      </c>
      <c r="CA13" s="5">
        <v>0</v>
      </c>
      <c r="CB13" s="5">
        <v>4</v>
      </c>
      <c r="CC13" s="5">
        <v>4</v>
      </c>
      <c r="CF13" s="5" t="s">
        <v>27</v>
      </c>
      <c r="CG13" s="5">
        <v>7</v>
      </c>
      <c r="CH13" s="5">
        <v>4</v>
      </c>
    </row>
    <row r="14" spans="2:86" ht="16.8" customHeight="1" thickBot="1" x14ac:dyDescent="0.35">
      <c r="B14" s="160" t="s">
        <v>711</v>
      </c>
      <c r="C14" s="12" t="s">
        <v>6</v>
      </c>
      <c r="D14" s="12" t="s">
        <v>9</v>
      </c>
      <c r="E14" s="12" t="s">
        <v>11</v>
      </c>
      <c r="G14" s="120" t="s">
        <v>374</v>
      </c>
      <c r="N14" s="5" t="s">
        <v>28</v>
      </c>
      <c r="O14" s="5"/>
      <c r="P14" s="124">
        <v>1</v>
      </c>
      <c r="Q14" s="5"/>
      <c r="T14" s="11" t="s">
        <v>28</v>
      </c>
      <c r="U14" s="11"/>
      <c r="V14" s="128">
        <v>3</v>
      </c>
      <c r="W14" s="128">
        <v>3</v>
      </c>
      <c r="Z14" s="11" t="s">
        <v>28</v>
      </c>
      <c r="AA14" s="128">
        <v>6</v>
      </c>
      <c r="AB14" s="128">
        <v>3</v>
      </c>
      <c r="AE14" s="5" t="s">
        <v>28</v>
      </c>
      <c r="AF14" s="124">
        <v>1</v>
      </c>
      <c r="AI14" s="11" t="s">
        <v>546</v>
      </c>
      <c r="AJ14" s="11" t="s">
        <v>118</v>
      </c>
      <c r="AK14" s="11" t="s">
        <v>587</v>
      </c>
      <c r="AL14" s="11" t="str">
        <f t="shared" si="27"/>
        <v>Imola Circuit</v>
      </c>
      <c r="AM14" s="11" t="str">
        <f t="shared" si="28"/>
        <v>Italy</v>
      </c>
      <c r="AN14" s="11" t="str">
        <f t="shared" si="1"/>
        <v>Road Course</v>
      </c>
      <c r="AO14" s="11" t="str">
        <f t="shared" si="2"/>
        <v>33 Laps</v>
      </c>
      <c r="AP14" s="11" t="str">
        <f t="shared" si="3"/>
        <v>27 Laps</v>
      </c>
      <c r="AQ14" s="11" t="str">
        <f t="shared" si="29"/>
        <v>Chassis</v>
      </c>
      <c r="AR14" s="15" t="str">
        <f t="shared" si="30"/>
        <v>Chassis</v>
      </c>
      <c r="AS14" s="16" t="str">
        <f t="shared" si="31"/>
        <v>Suspension</v>
      </c>
      <c r="AV14" s="11" t="s">
        <v>546</v>
      </c>
      <c r="AW14" s="11" t="s">
        <v>120</v>
      </c>
      <c r="AX14" s="11" t="s">
        <v>529</v>
      </c>
      <c r="AY14" s="11" t="str">
        <f t="shared" si="22"/>
        <v>Nurburgring GP Circuit</v>
      </c>
      <c r="AZ14" s="11" t="str">
        <f t="shared" si="23"/>
        <v>Germany</v>
      </c>
      <c r="BA14" s="11" t="str">
        <f t="shared" si="18"/>
        <v>Road Course</v>
      </c>
      <c r="BB14" s="11" t="str">
        <f t="shared" si="9"/>
        <v>32 Laps</v>
      </c>
      <c r="BC14" s="11" t="str">
        <f t="shared" si="10"/>
        <v>26 Laps</v>
      </c>
      <c r="BD14" s="11" t="str">
        <f t="shared" si="24"/>
        <v>Chassis</v>
      </c>
      <c r="BE14" s="15" t="str">
        <f t="shared" si="25"/>
        <v>Aero</v>
      </c>
      <c r="BF14" s="16" t="str">
        <f t="shared" si="26"/>
        <v>Chassis</v>
      </c>
      <c r="BI14" s="5" t="s">
        <v>747</v>
      </c>
      <c r="BJ14" s="5" t="s">
        <v>109</v>
      </c>
      <c r="BK14" s="5" t="s">
        <v>35</v>
      </c>
      <c r="BL14" s="5" t="s">
        <v>584</v>
      </c>
      <c r="BM14" s="5">
        <v>5.7290000000000001</v>
      </c>
      <c r="BN14" s="5">
        <v>5</v>
      </c>
      <c r="BO14" s="5">
        <v>2</v>
      </c>
      <c r="BP14" s="5">
        <v>2</v>
      </c>
      <c r="BQ14" s="5" t="s">
        <v>39</v>
      </c>
      <c r="BR14" s="5" t="s">
        <v>39</v>
      </c>
      <c r="BS14" s="5" t="s">
        <v>2</v>
      </c>
      <c r="BV14" s="5" t="s">
        <v>97</v>
      </c>
      <c r="BW14" s="5" t="s">
        <v>98</v>
      </c>
      <c r="BZ14" s="5" t="s">
        <v>28</v>
      </c>
      <c r="CA14" s="5">
        <v>0</v>
      </c>
      <c r="CB14" s="5">
        <v>3</v>
      </c>
      <c r="CC14" s="5">
        <v>3</v>
      </c>
      <c r="CF14" s="5" t="s">
        <v>28</v>
      </c>
      <c r="CG14" s="5">
        <v>6</v>
      </c>
      <c r="CH14" s="5">
        <v>3</v>
      </c>
    </row>
    <row r="15" spans="2:86" ht="16.8" customHeight="1" x14ac:dyDescent="0.3">
      <c r="N15" s="5" t="s">
        <v>58</v>
      </c>
      <c r="O15" s="5"/>
      <c r="P15" s="5">
        <v>1</v>
      </c>
      <c r="Q15" s="5"/>
      <c r="T15" s="11" t="s">
        <v>29</v>
      </c>
      <c r="U15" s="11"/>
      <c r="V15" s="128">
        <v>2</v>
      </c>
      <c r="W15" s="128">
        <v>2</v>
      </c>
      <c r="Z15" s="11" t="s">
        <v>29</v>
      </c>
      <c r="AA15" s="128">
        <v>5</v>
      </c>
      <c r="AB15" s="128">
        <v>2</v>
      </c>
      <c r="AE15" s="5" t="s">
        <v>58</v>
      </c>
      <c r="AF15" s="5">
        <v>3</v>
      </c>
      <c r="AI15" s="11" t="s">
        <v>547</v>
      </c>
      <c r="AJ15" s="11" t="s">
        <v>566</v>
      </c>
      <c r="AK15" s="11" t="s">
        <v>576</v>
      </c>
      <c r="AL15" s="11" t="str">
        <f t="shared" si="27"/>
        <v>Istanbul Park</v>
      </c>
      <c r="AM15" s="11" t="str">
        <f t="shared" si="28"/>
        <v>Turkiye</v>
      </c>
      <c r="AN15" s="11" t="str">
        <f t="shared" si="1"/>
        <v>Road Course</v>
      </c>
      <c r="AO15" s="11" t="str">
        <f t="shared" si="2"/>
        <v>30 Laps</v>
      </c>
      <c r="AP15" s="11" t="str">
        <f t="shared" si="3"/>
        <v>25 Laps</v>
      </c>
      <c r="AQ15" s="11" t="str">
        <f t="shared" si="29"/>
        <v>Aero</v>
      </c>
      <c r="AR15" s="15" t="str">
        <f t="shared" si="30"/>
        <v>Aero</v>
      </c>
      <c r="AS15" s="16" t="str">
        <f t="shared" si="31"/>
        <v>Engine</v>
      </c>
      <c r="AV15" s="11" t="s">
        <v>547</v>
      </c>
      <c r="AW15" s="11" t="s">
        <v>118</v>
      </c>
      <c r="AX15" s="11" t="s">
        <v>525</v>
      </c>
      <c r="AY15" s="11" t="str">
        <f t="shared" si="22"/>
        <v>Autodromo Nazionale del Mugello</v>
      </c>
      <c r="AZ15" s="11" t="str">
        <f t="shared" si="23"/>
        <v>Italy</v>
      </c>
      <c r="BA15" s="11" t="str">
        <f t="shared" si="18"/>
        <v>Road Course</v>
      </c>
      <c r="BB15" s="11" t="str">
        <f t="shared" si="9"/>
        <v>31 Laps</v>
      </c>
      <c r="BC15" s="11" t="str">
        <f t="shared" si="10"/>
        <v>25 Laps</v>
      </c>
      <c r="BD15" s="11" t="str">
        <f t="shared" si="24"/>
        <v>Aero</v>
      </c>
      <c r="BE15" s="15" t="str">
        <f t="shared" si="25"/>
        <v>Aero</v>
      </c>
      <c r="BF15" s="16" t="str">
        <f t="shared" si="26"/>
        <v>Engine</v>
      </c>
      <c r="BI15" s="5" t="s">
        <v>530</v>
      </c>
      <c r="BJ15" s="5" t="s">
        <v>746</v>
      </c>
      <c r="BK15" s="5" t="s">
        <v>35</v>
      </c>
      <c r="BL15" s="5" t="s">
        <v>614</v>
      </c>
      <c r="BM15" s="5">
        <v>4.0229999999999997</v>
      </c>
      <c r="BN15" s="5">
        <v>5</v>
      </c>
      <c r="BO15" s="5">
        <v>2</v>
      </c>
      <c r="BP15" s="5">
        <v>2</v>
      </c>
      <c r="BQ15" s="5" t="s">
        <v>39</v>
      </c>
      <c r="BR15" s="5" t="s">
        <v>39</v>
      </c>
      <c r="BS15" s="5" t="s">
        <v>2</v>
      </c>
      <c r="BV15" s="5" t="s">
        <v>99</v>
      </c>
      <c r="BW15" s="5" t="s">
        <v>108</v>
      </c>
      <c r="BZ15" s="5" t="s">
        <v>29</v>
      </c>
      <c r="CA15" s="5">
        <v>0</v>
      </c>
      <c r="CB15" s="5">
        <v>2</v>
      </c>
      <c r="CC15" s="5">
        <v>2</v>
      </c>
      <c r="CF15" s="5" t="s">
        <v>29</v>
      </c>
      <c r="CG15" s="5">
        <v>5</v>
      </c>
      <c r="CH15" s="5">
        <v>2</v>
      </c>
    </row>
    <row r="16" spans="2:86" ht="16.8" customHeight="1" thickBot="1" x14ac:dyDescent="0.35">
      <c r="T16" s="12" t="s">
        <v>30</v>
      </c>
      <c r="U16" s="12"/>
      <c r="V16" s="129">
        <v>1</v>
      </c>
      <c r="W16" s="129">
        <v>1</v>
      </c>
      <c r="Z16" s="11" t="s">
        <v>30</v>
      </c>
      <c r="AA16" s="128">
        <v>4</v>
      </c>
      <c r="AB16" s="128">
        <v>1</v>
      </c>
      <c r="AI16" s="125" t="s">
        <v>548</v>
      </c>
      <c r="AJ16" s="11" t="s">
        <v>428</v>
      </c>
      <c r="AK16" s="11" t="s">
        <v>724</v>
      </c>
      <c r="AL16" s="11" t="str">
        <f t="shared" si="27"/>
        <v>Twin Ring Motegi Oval</v>
      </c>
      <c r="AM16" s="11" t="str">
        <f t="shared" si="28"/>
        <v>Japan</v>
      </c>
      <c r="AN16" s="11" t="str">
        <f t="shared" si="1"/>
        <v>Speedway</v>
      </c>
      <c r="AO16" s="11" t="str">
        <f t="shared" si="2"/>
        <v>121 Laps</v>
      </c>
      <c r="AP16" s="11" t="str">
        <f t="shared" si="3"/>
        <v>81 Laps</v>
      </c>
      <c r="AQ16" s="11" t="str">
        <f t="shared" si="29"/>
        <v>Aero</v>
      </c>
      <c r="AR16" s="15" t="str">
        <f t="shared" si="30"/>
        <v>Aero</v>
      </c>
      <c r="AS16" s="16" t="str">
        <f t="shared" si="31"/>
        <v>Engine</v>
      </c>
      <c r="AV16" s="11" t="s">
        <v>548</v>
      </c>
      <c r="AW16" s="11" t="s">
        <v>739</v>
      </c>
      <c r="AX16" s="11" t="s">
        <v>531</v>
      </c>
      <c r="AY16" s="11" t="str">
        <f t="shared" si="22"/>
        <v>Circuit de Spa-Francorshamps</v>
      </c>
      <c r="AZ16" s="11" t="str">
        <f t="shared" si="23"/>
        <v>Belgium</v>
      </c>
      <c r="BA16" s="11" t="str">
        <f t="shared" si="18"/>
        <v>Road Course</v>
      </c>
      <c r="BB16" s="11" t="str">
        <f t="shared" si="9"/>
        <v>23 Laps</v>
      </c>
      <c r="BC16" s="11" t="str">
        <f t="shared" si="10"/>
        <v>19 Laps</v>
      </c>
      <c r="BD16" s="11" t="str">
        <f t="shared" si="24"/>
        <v>Aero</v>
      </c>
      <c r="BE16" s="15" t="str">
        <f t="shared" si="25"/>
        <v>Aero</v>
      </c>
      <c r="BF16" s="16" t="str">
        <f t="shared" si="26"/>
        <v>Engine</v>
      </c>
      <c r="BI16" s="5" t="s">
        <v>527</v>
      </c>
      <c r="BJ16" s="5" t="s">
        <v>342</v>
      </c>
      <c r="BK16" s="5" t="s">
        <v>343</v>
      </c>
      <c r="BL16" s="5" t="s">
        <v>584</v>
      </c>
      <c r="BM16" s="5">
        <v>5.5430000000000001</v>
      </c>
      <c r="BN16" s="5">
        <v>4</v>
      </c>
      <c r="BO16" s="5">
        <v>4</v>
      </c>
      <c r="BP16" s="5">
        <v>4</v>
      </c>
      <c r="BQ16" s="5" t="s">
        <v>39</v>
      </c>
      <c r="BR16" s="5" t="s">
        <v>1</v>
      </c>
      <c r="BS16" s="5" t="s">
        <v>2</v>
      </c>
      <c r="BV16" s="5" t="s">
        <v>139</v>
      </c>
      <c r="BW16" s="5" t="s">
        <v>142</v>
      </c>
      <c r="BZ16" s="5" t="s">
        <v>30</v>
      </c>
      <c r="CA16" s="5">
        <v>0</v>
      </c>
      <c r="CB16" s="5">
        <v>1</v>
      </c>
      <c r="CC16" s="5">
        <v>1</v>
      </c>
      <c r="CF16" s="5" t="s">
        <v>30</v>
      </c>
      <c r="CG16" s="5">
        <v>4</v>
      </c>
      <c r="CH16" s="5">
        <v>1</v>
      </c>
    </row>
    <row r="17" spans="2:86" ht="16.8" customHeight="1" thickBot="1" x14ac:dyDescent="0.35">
      <c r="B17" s="38" t="s">
        <v>329</v>
      </c>
      <c r="C17" s="11" t="s">
        <v>439</v>
      </c>
      <c r="D17" s="11" t="s">
        <v>7</v>
      </c>
      <c r="E17" s="11" t="s">
        <v>11</v>
      </c>
      <c r="T17" s="7" t="s">
        <v>58</v>
      </c>
      <c r="U17" s="7"/>
      <c r="V17" s="7"/>
      <c r="W17" s="7">
        <v>1</v>
      </c>
      <c r="Z17" s="11" t="s">
        <v>46</v>
      </c>
      <c r="AA17" s="128">
        <v>3</v>
      </c>
      <c r="AB17" s="11"/>
      <c r="AI17" s="11" t="s">
        <v>589</v>
      </c>
      <c r="AJ17" s="11" t="s">
        <v>568</v>
      </c>
      <c r="AK17" s="11" t="s">
        <v>570</v>
      </c>
      <c r="AL17" s="11" t="str">
        <f t="shared" si="27"/>
        <v>Marina Bay Street Circuit</v>
      </c>
      <c r="AM17" s="11" t="str">
        <f t="shared" si="28"/>
        <v>Singapore</v>
      </c>
      <c r="AN17" s="11" t="str">
        <f t="shared" si="1"/>
        <v>Street Course</v>
      </c>
      <c r="AO17" s="11" t="str">
        <f t="shared" si="2"/>
        <v>31 Laps</v>
      </c>
      <c r="AP17" s="11" t="str">
        <f t="shared" si="3"/>
        <v>26 Laps</v>
      </c>
      <c r="AQ17" s="11" t="str">
        <f t="shared" si="29"/>
        <v>Suspension</v>
      </c>
      <c r="AR17" s="15" t="str">
        <f t="shared" si="30"/>
        <v>Aero</v>
      </c>
      <c r="AS17" s="16" t="str">
        <f t="shared" si="31"/>
        <v>Engine</v>
      </c>
      <c r="AV17" s="11" t="s">
        <v>589</v>
      </c>
      <c r="AW17" s="11" t="s">
        <v>740</v>
      </c>
      <c r="AX17" s="11" t="s">
        <v>552</v>
      </c>
      <c r="AY17" s="11" t="str">
        <f t="shared" si="22"/>
        <v>Circuit de Barcelona-Catalunya</v>
      </c>
      <c r="AZ17" s="11" t="str">
        <f t="shared" si="23"/>
        <v>Spain</v>
      </c>
      <c r="BA17" s="11" t="str">
        <f t="shared" si="18"/>
        <v>Road Course</v>
      </c>
      <c r="BB17" s="11" t="str">
        <f t="shared" si="9"/>
        <v>35 Laps</v>
      </c>
      <c r="BC17" s="11" t="str">
        <f t="shared" si="10"/>
        <v>28 Laps</v>
      </c>
      <c r="BD17" s="11" t="str">
        <f t="shared" si="24"/>
        <v>Chassis</v>
      </c>
      <c r="BE17" s="15" t="str">
        <f t="shared" si="25"/>
        <v>Chassis</v>
      </c>
      <c r="BF17" s="16" t="str">
        <f t="shared" si="26"/>
        <v>Engine</v>
      </c>
      <c r="BI17" s="5" t="s">
        <v>531</v>
      </c>
      <c r="BJ17" s="5" t="s">
        <v>372</v>
      </c>
      <c r="BK17" s="5" t="s">
        <v>371</v>
      </c>
      <c r="BL17" s="5" t="s">
        <v>584</v>
      </c>
      <c r="BM17" s="5">
        <v>7.0039999999999996</v>
      </c>
      <c r="BN17" s="5">
        <v>4</v>
      </c>
      <c r="BO17" s="5">
        <v>2</v>
      </c>
      <c r="BP17" s="5">
        <v>2</v>
      </c>
      <c r="BQ17" s="5" t="s">
        <v>39</v>
      </c>
      <c r="BR17" s="5" t="s">
        <v>39</v>
      </c>
      <c r="BS17" s="5" t="s">
        <v>2</v>
      </c>
      <c r="BV17" s="5" t="s">
        <v>140</v>
      </c>
      <c r="BW17" s="5" t="s">
        <v>141</v>
      </c>
      <c r="BZ17" s="5" t="s">
        <v>46</v>
      </c>
      <c r="CA17" s="5">
        <v>0</v>
      </c>
      <c r="CB17" s="5">
        <v>0</v>
      </c>
      <c r="CC17" s="5">
        <v>0</v>
      </c>
      <c r="CF17" s="5" t="s">
        <v>46</v>
      </c>
      <c r="CG17" s="5">
        <v>3</v>
      </c>
      <c r="CH17" s="5">
        <v>0</v>
      </c>
    </row>
    <row r="18" spans="2:86" ht="16.8" customHeight="1" thickBot="1" x14ac:dyDescent="0.35">
      <c r="B18" s="39" t="s">
        <v>327</v>
      </c>
      <c r="C18" s="11" t="s">
        <v>439</v>
      </c>
      <c r="D18" s="11" t="s">
        <v>9</v>
      </c>
      <c r="E18" s="11" t="s">
        <v>13</v>
      </c>
      <c r="Z18" s="11" t="s">
        <v>47</v>
      </c>
      <c r="AA18" s="128">
        <v>2</v>
      </c>
      <c r="AB18" s="11"/>
      <c r="AI18" s="12" t="s">
        <v>716</v>
      </c>
      <c r="AJ18" s="12" t="s">
        <v>116</v>
      </c>
      <c r="AK18" s="12" t="s">
        <v>528</v>
      </c>
      <c r="AL18" s="12" t="str">
        <f t="shared" si="27"/>
        <v>Adelaide Street Circuit</v>
      </c>
      <c r="AM18" s="12" t="str">
        <f t="shared" si="28"/>
        <v>Australia</v>
      </c>
      <c r="AN18" s="12" t="str">
        <f t="shared" si="1"/>
        <v>Street Course</v>
      </c>
      <c r="AO18" s="12" t="str">
        <f t="shared" si="2"/>
        <v>40 Laps</v>
      </c>
      <c r="AP18" s="12" t="str">
        <f t="shared" si="3"/>
        <v>34 Laps</v>
      </c>
      <c r="AQ18" s="12" t="str">
        <f t="shared" si="29"/>
        <v>Suspension</v>
      </c>
      <c r="AR18" s="17" t="str">
        <f t="shared" si="30"/>
        <v>Chassis</v>
      </c>
      <c r="AS18" s="18" t="str">
        <f t="shared" si="31"/>
        <v>Suspension</v>
      </c>
      <c r="AV18" s="11" t="s">
        <v>716</v>
      </c>
      <c r="AW18" s="11" t="s">
        <v>119</v>
      </c>
      <c r="AX18" s="11" t="s">
        <v>524</v>
      </c>
      <c r="AY18" s="11" t="str">
        <f t="shared" ref="AY18:AY22" si="32">VLOOKUP(AX18, trackList, 2, FALSE)</f>
        <v>Silverstone Circuit</v>
      </c>
      <c r="AZ18" s="11" t="str">
        <f t="shared" ref="AZ18:AZ22" si="33">VLOOKUP(AX18, trackList, 3, FALSE)</f>
        <v>United Kingdom</v>
      </c>
      <c r="BA18" s="11" t="str">
        <f t="shared" ref="BA18:BA22" si="34">VLOOKUP(AX18, trackList, 4, FALSE)</f>
        <v>Road Course</v>
      </c>
      <c r="BB18" s="11" t="str">
        <f t="shared" si="9"/>
        <v>28 Laps</v>
      </c>
      <c r="BC18" s="11" t="str">
        <f t="shared" si="10"/>
        <v>23 Laps</v>
      </c>
      <c r="BD18" s="11" t="str">
        <f t="shared" ref="BD18:BD22" si="35">VLOOKUP(AX18, trackList, 9, FALSE)</f>
        <v>Aero</v>
      </c>
      <c r="BE18" s="15" t="str">
        <f t="shared" ref="BE18:BE22" si="36">VLOOKUP(AX18, trackList, 10, FALSE)</f>
        <v>Aero</v>
      </c>
      <c r="BF18" s="16" t="str">
        <f t="shared" ref="BF18:BF22" si="37">VLOOKUP(AX18, trackList, 11, FALSE)</f>
        <v>Engine</v>
      </c>
      <c r="BI18" s="5" t="s">
        <v>532</v>
      </c>
      <c r="BJ18" s="5" t="s">
        <v>373</v>
      </c>
      <c r="BK18" s="5" t="s">
        <v>37</v>
      </c>
      <c r="BL18" s="5" t="s">
        <v>584</v>
      </c>
      <c r="BM18" s="5">
        <v>5.7930000000000001</v>
      </c>
      <c r="BN18" s="5">
        <v>4</v>
      </c>
      <c r="BO18" s="5">
        <v>2</v>
      </c>
      <c r="BP18" s="5">
        <v>2</v>
      </c>
      <c r="BQ18" s="5" t="s">
        <v>39</v>
      </c>
      <c r="BR18" s="5" t="s">
        <v>39</v>
      </c>
      <c r="BS18" s="5" t="s">
        <v>2</v>
      </c>
      <c r="BZ18" s="5" t="s">
        <v>47</v>
      </c>
      <c r="CA18" s="5">
        <v>0</v>
      </c>
      <c r="CB18" s="5">
        <v>0</v>
      </c>
      <c r="CC18" s="5">
        <v>0</v>
      </c>
      <c r="CF18" s="5" t="s">
        <v>47</v>
      </c>
      <c r="CG18" s="5">
        <v>2</v>
      </c>
      <c r="CH18" s="5">
        <v>0</v>
      </c>
    </row>
    <row r="19" spans="2:86" ht="16.8" customHeight="1" thickBot="1" x14ac:dyDescent="0.35">
      <c r="Z19" s="12" t="s">
        <v>48</v>
      </c>
      <c r="AA19" s="129">
        <v>1</v>
      </c>
      <c r="AB19" s="11"/>
      <c r="AV19" s="11" t="s">
        <v>718</v>
      </c>
      <c r="AW19" s="11" t="s">
        <v>566</v>
      </c>
      <c r="AX19" s="11" t="s">
        <v>576</v>
      </c>
      <c r="AY19" s="11" t="str">
        <f t="shared" si="32"/>
        <v>Istanbul Park</v>
      </c>
      <c r="AZ19" s="11" t="str">
        <f t="shared" si="33"/>
        <v>Turkiye</v>
      </c>
      <c r="BA19" s="11" t="str">
        <f t="shared" si="34"/>
        <v>Road Course</v>
      </c>
      <c r="BB19" s="11" t="str">
        <f t="shared" si="9"/>
        <v>30 Laps</v>
      </c>
      <c r="BC19" s="11" t="str">
        <f t="shared" si="10"/>
        <v>25 Laps</v>
      </c>
      <c r="BD19" s="11" t="str">
        <f t="shared" si="35"/>
        <v>Aero</v>
      </c>
      <c r="BE19" s="15" t="str">
        <f t="shared" si="36"/>
        <v>Aero</v>
      </c>
      <c r="BF19" s="16" t="str">
        <f t="shared" si="37"/>
        <v>Engine</v>
      </c>
      <c r="BI19" s="5" t="s">
        <v>533</v>
      </c>
      <c r="BJ19" s="5" t="s">
        <v>402</v>
      </c>
      <c r="BK19" s="5" t="s">
        <v>84</v>
      </c>
      <c r="BL19" s="5" t="s">
        <v>584</v>
      </c>
      <c r="BM19" s="5">
        <v>4.5739999999999998</v>
      </c>
      <c r="BN19" s="5">
        <v>4</v>
      </c>
      <c r="BO19" s="5">
        <v>3</v>
      </c>
      <c r="BP19" s="5">
        <v>3</v>
      </c>
      <c r="BQ19" s="5" t="s">
        <v>1</v>
      </c>
      <c r="BR19" s="5" t="s">
        <v>39</v>
      </c>
      <c r="BS19" s="5" t="s">
        <v>1</v>
      </c>
      <c r="BZ19" s="5" t="s">
        <v>48</v>
      </c>
      <c r="CA19" s="5">
        <v>0</v>
      </c>
      <c r="CB19" s="5">
        <v>0</v>
      </c>
      <c r="CC19" s="5">
        <v>0</v>
      </c>
      <c r="CF19" s="5" t="s">
        <v>48</v>
      </c>
      <c r="CG19" s="5">
        <v>1</v>
      </c>
      <c r="CH19" s="5">
        <v>0</v>
      </c>
    </row>
    <row r="20" spans="2:86" ht="16.8" customHeight="1" thickBot="1" x14ac:dyDescent="0.35">
      <c r="T20" s="183" t="s">
        <v>143</v>
      </c>
      <c r="U20" s="179"/>
      <c r="V20" s="179"/>
      <c r="W20" s="179"/>
      <c r="Z20" s="7" t="s">
        <v>58</v>
      </c>
      <c r="AA20" s="7">
        <v>3</v>
      </c>
      <c r="AB20" s="7">
        <v>1</v>
      </c>
      <c r="AV20" s="11" t="s">
        <v>719</v>
      </c>
      <c r="AW20" s="11" t="s">
        <v>122</v>
      </c>
      <c r="AX20" s="11" t="s">
        <v>519</v>
      </c>
      <c r="AY20" s="11" t="str">
        <f t="shared" si="32"/>
        <v>Autodromo Jose Carlos Pace</v>
      </c>
      <c r="AZ20" s="11" t="str">
        <f t="shared" si="33"/>
        <v>Brazil</v>
      </c>
      <c r="BA20" s="11" t="str">
        <f t="shared" si="34"/>
        <v>Road Course</v>
      </c>
      <c r="BB20" s="11" t="str">
        <f t="shared" si="9"/>
        <v>38 Laps</v>
      </c>
      <c r="BC20" s="11" t="str">
        <f t="shared" si="10"/>
        <v>31 Laps</v>
      </c>
      <c r="BD20" s="11" t="str">
        <f t="shared" si="35"/>
        <v>Chassis</v>
      </c>
      <c r="BE20" s="15" t="str">
        <f t="shared" si="36"/>
        <v>Aero</v>
      </c>
      <c r="BF20" s="16" t="str">
        <f t="shared" si="37"/>
        <v>Engine</v>
      </c>
      <c r="BI20" s="5" t="s">
        <v>520</v>
      </c>
      <c r="BJ20" s="5" t="s">
        <v>427</v>
      </c>
      <c r="BK20" s="5" t="s">
        <v>35</v>
      </c>
      <c r="BL20" s="5" t="s">
        <v>584</v>
      </c>
      <c r="BM20" s="5">
        <v>5.5129999999999999</v>
      </c>
      <c r="BN20" s="5">
        <v>3</v>
      </c>
      <c r="BO20" s="5">
        <v>3</v>
      </c>
      <c r="BP20" s="5">
        <v>3</v>
      </c>
      <c r="BQ20" s="5" t="s">
        <v>1</v>
      </c>
      <c r="BR20" s="5" t="s">
        <v>39</v>
      </c>
      <c r="BS20" s="5" t="s">
        <v>2</v>
      </c>
      <c r="BZ20" s="5" t="s">
        <v>49</v>
      </c>
      <c r="CA20" s="5">
        <v>0</v>
      </c>
      <c r="CB20" s="5">
        <v>0</v>
      </c>
      <c r="CC20" s="5">
        <v>0</v>
      </c>
      <c r="CF20" s="5" t="s">
        <v>49</v>
      </c>
      <c r="CG20" s="5">
        <v>0</v>
      </c>
      <c r="CH20" s="5">
        <v>0</v>
      </c>
    </row>
    <row r="21" spans="2:86" ht="16.8" customHeight="1" x14ac:dyDescent="0.3">
      <c r="T21" s="179"/>
      <c r="U21" s="179"/>
      <c r="V21" s="179"/>
      <c r="W21" s="179"/>
      <c r="AN21" s="4" t="s">
        <v>584</v>
      </c>
      <c r="AO21" s="4">
        <v>160</v>
      </c>
      <c r="AP21" s="4">
        <v>130</v>
      </c>
      <c r="AV21" s="11" t="s">
        <v>720</v>
      </c>
      <c r="AW21" s="11" t="s">
        <v>741</v>
      </c>
      <c r="AX21" s="11" t="s">
        <v>733</v>
      </c>
      <c r="AY21" s="125" t="str">
        <f t="shared" si="32"/>
        <v>Autodromo Hermanos Rodriguez</v>
      </c>
      <c r="AZ21" s="11" t="str">
        <f t="shared" si="33"/>
        <v>Mexico</v>
      </c>
      <c r="BA21" s="11" t="str">
        <f t="shared" si="34"/>
        <v>Road Course</v>
      </c>
      <c r="BB21" s="11" t="str">
        <f t="shared" si="9"/>
        <v>38 Laps</v>
      </c>
      <c r="BC21" s="11" t="str">
        <f t="shared" si="10"/>
        <v>31 Laps</v>
      </c>
      <c r="BD21" s="11" t="str">
        <f t="shared" si="35"/>
        <v>Aero</v>
      </c>
      <c r="BE21" s="15" t="str">
        <f t="shared" si="36"/>
        <v>Aero</v>
      </c>
      <c r="BF21" s="16" t="str">
        <f t="shared" si="37"/>
        <v>Engine</v>
      </c>
      <c r="BI21" s="5" t="s">
        <v>526</v>
      </c>
      <c r="BJ21" s="5" t="s">
        <v>429</v>
      </c>
      <c r="BK21" s="5" t="s">
        <v>430</v>
      </c>
      <c r="BL21" s="5" t="s">
        <v>584</v>
      </c>
      <c r="BM21" s="5">
        <v>5.8070000000000004</v>
      </c>
      <c r="BN21" s="5">
        <v>2</v>
      </c>
      <c r="BO21" s="5">
        <v>3</v>
      </c>
      <c r="BP21" s="5">
        <v>3</v>
      </c>
      <c r="BQ21" s="5" t="s">
        <v>1</v>
      </c>
      <c r="BR21" s="5" t="s">
        <v>39</v>
      </c>
      <c r="BS21" s="5" t="s">
        <v>1</v>
      </c>
      <c r="BV21" s="4" t="s">
        <v>39</v>
      </c>
      <c r="BZ21" s="5" t="s">
        <v>50</v>
      </c>
      <c r="CA21" s="5">
        <v>0</v>
      </c>
      <c r="CB21" s="5">
        <v>0</v>
      </c>
      <c r="CC21" s="5">
        <v>0</v>
      </c>
      <c r="CF21" s="5" t="s">
        <v>50</v>
      </c>
      <c r="CG21" s="5">
        <v>0</v>
      </c>
      <c r="CH21" s="5">
        <v>0</v>
      </c>
    </row>
    <row r="22" spans="2:86" ht="16.8" customHeight="1" x14ac:dyDescent="0.3">
      <c r="T22" s="5" t="s">
        <v>15</v>
      </c>
      <c r="U22" s="5" t="s">
        <v>16</v>
      </c>
      <c r="V22" s="5" t="s">
        <v>17</v>
      </c>
      <c r="W22" s="5" t="s">
        <v>18</v>
      </c>
      <c r="AN22" s="4" t="s">
        <v>583</v>
      </c>
      <c r="AO22" s="4">
        <v>150</v>
      </c>
      <c r="AP22" s="4">
        <v>125</v>
      </c>
      <c r="AV22" s="11" t="s">
        <v>721</v>
      </c>
      <c r="AW22" s="11" t="s">
        <v>123</v>
      </c>
      <c r="AX22" s="11" t="s">
        <v>585</v>
      </c>
      <c r="AY22" s="11" t="str">
        <f t="shared" si="32"/>
        <v>Streets of Long Beach</v>
      </c>
      <c r="AZ22" s="11" t="str">
        <f t="shared" si="33"/>
        <v>United States</v>
      </c>
      <c r="BA22" s="11" t="str">
        <f t="shared" si="34"/>
        <v>Street Course</v>
      </c>
      <c r="BB22" s="11" t="str">
        <f t="shared" si="9"/>
        <v>48 Laps</v>
      </c>
      <c r="BC22" s="11" t="str">
        <f t="shared" si="10"/>
        <v>40 Laps</v>
      </c>
      <c r="BD22" s="11" t="str">
        <f t="shared" si="35"/>
        <v>Chassis</v>
      </c>
      <c r="BE22" s="15" t="str">
        <f t="shared" si="36"/>
        <v>Aero</v>
      </c>
      <c r="BF22" s="16" t="str">
        <f t="shared" si="37"/>
        <v>Chassis</v>
      </c>
      <c r="BI22" s="5" t="s">
        <v>534</v>
      </c>
      <c r="BJ22" s="5" t="s">
        <v>518</v>
      </c>
      <c r="BK22" s="5" t="s">
        <v>430</v>
      </c>
      <c r="BL22" s="5" t="s">
        <v>584</v>
      </c>
      <c r="BM22" s="5">
        <v>4.5629999999999997</v>
      </c>
      <c r="BN22" s="5">
        <v>3</v>
      </c>
      <c r="BO22" s="5">
        <v>4</v>
      </c>
      <c r="BP22" s="5">
        <v>2</v>
      </c>
      <c r="BQ22" s="5" t="s">
        <v>39</v>
      </c>
      <c r="BR22" s="5" t="s">
        <v>39</v>
      </c>
      <c r="BS22" s="5" t="s">
        <v>2</v>
      </c>
      <c r="BV22" s="4" t="s">
        <v>1</v>
      </c>
      <c r="BZ22" s="5" t="s">
        <v>51</v>
      </c>
      <c r="CA22" s="5">
        <v>0</v>
      </c>
      <c r="CB22" s="5">
        <v>0</v>
      </c>
      <c r="CC22" s="5">
        <v>0</v>
      </c>
      <c r="CF22" s="5" t="s">
        <v>51</v>
      </c>
      <c r="CG22" s="5">
        <v>0</v>
      </c>
      <c r="CH22" s="5">
        <v>0</v>
      </c>
    </row>
    <row r="23" spans="2:86" ht="16.8" customHeight="1" x14ac:dyDescent="0.3">
      <c r="T23" s="5" t="s">
        <v>19</v>
      </c>
      <c r="U23" s="56">
        <v>10</v>
      </c>
      <c r="V23" s="56">
        <v>25</v>
      </c>
      <c r="W23" s="56">
        <v>15</v>
      </c>
      <c r="AN23" s="4" t="s">
        <v>610</v>
      </c>
      <c r="AO23" s="4">
        <v>300</v>
      </c>
      <c r="AP23" s="4">
        <v>200</v>
      </c>
      <c r="AV23" s="11" t="s">
        <v>722</v>
      </c>
      <c r="AW23" s="11" t="s">
        <v>742</v>
      </c>
      <c r="AX23" s="11" t="s">
        <v>623</v>
      </c>
      <c r="AY23" s="11" t="str">
        <f t="shared" ref="AY23" si="38">VLOOKUP(AX23, trackList, 2, FALSE)</f>
        <v>Indianapolis Motor Speedway</v>
      </c>
      <c r="AZ23" s="11" t="str">
        <f t="shared" ref="AZ23" si="39">VLOOKUP(AX23, trackList, 3, FALSE)</f>
        <v>United States</v>
      </c>
      <c r="BA23" s="11" t="str">
        <f t="shared" ref="BA23" si="40">VLOOKUP(AX23, trackList, 4, FALSE)</f>
        <v>Speedway</v>
      </c>
      <c r="BB23" s="11" t="str">
        <f t="shared" si="9"/>
        <v>75 Laps</v>
      </c>
      <c r="BC23" s="11" t="str">
        <f t="shared" si="10"/>
        <v>50 Laps</v>
      </c>
      <c r="BD23" s="11" t="str">
        <f t="shared" ref="BD23" si="41">VLOOKUP(AX23, trackList, 9, FALSE)</f>
        <v>Aero</v>
      </c>
      <c r="BE23" s="15" t="str">
        <f t="shared" ref="BE23" si="42">VLOOKUP(AX23, trackList, 10, FALSE)</f>
        <v>Aero</v>
      </c>
      <c r="BF23" s="16" t="str">
        <f t="shared" ref="BF23" si="43">VLOOKUP(AX23, trackList, 11, FALSE)</f>
        <v>Engine</v>
      </c>
      <c r="BI23" s="5" t="s">
        <v>552</v>
      </c>
      <c r="BJ23" s="5" t="s">
        <v>551</v>
      </c>
      <c r="BK23" s="5" t="s">
        <v>36</v>
      </c>
      <c r="BL23" s="5" t="s">
        <v>584</v>
      </c>
      <c r="BM23" s="5">
        <v>4.657</v>
      </c>
      <c r="BN23" s="5">
        <v>3</v>
      </c>
      <c r="BO23" s="5">
        <v>3</v>
      </c>
      <c r="BP23" s="5">
        <v>4</v>
      </c>
      <c r="BQ23" s="5" t="s">
        <v>1</v>
      </c>
      <c r="BR23" s="5" t="s">
        <v>1</v>
      </c>
      <c r="BS23" s="5" t="s">
        <v>2</v>
      </c>
      <c r="BV23" s="4" t="s">
        <v>375</v>
      </c>
      <c r="BZ23" s="5" t="s">
        <v>52</v>
      </c>
      <c r="CA23" s="5">
        <v>0</v>
      </c>
      <c r="CB23" s="5">
        <v>0</v>
      </c>
      <c r="CC23" s="5">
        <v>0</v>
      </c>
      <c r="CF23" s="5" t="s">
        <v>52</v>
      </c>
      <c r="CG23" s="5">
        <v>0</v>
      </c>
      <c r="CH23" s="5">
        <v>0</v>
      </c>
    </row>
    <row r="24" spans="2:86" ht="16.8" customHeight="1" thickBot="1" x14ac:dyDescent="0.35">
      <c r="T24" s="5" t="s">
        <v>20</v>
      </c>
      <c r="U24" s="122">
        <v>8</v>
      </c>
      <c r="V24" s="122">
        <v>18</v>
      </c>
      <c r="W24" s="122">
        <v>12</v>
      </c>
      <c r="AN24" s="4" t="s">
        <v>614</v>
      </c>
      <c r="AO24" s="4">
        <v>300</v>
      </c>
      <c r="AP24" s="4">
        <v>200</v>
      </c>
      <c r="AV24" s="12" t="s">
        <v>723</v>
      </c>
      <c r="AW24" s="12" t="s">
        <v>743</v>
      </c>
      <c r="AX24" s="12" t="s">
        <v>530</v>
      </c>
      <c r="AY24" s="12" t="str">
        <f>VLOOKUP(AX24, trackList, 2, FALSE)</f>
        <v>Daytona International Speedway</v>
      </c>
      <c r="AZ24" s="12" t="str">
        <f>VLOOKUP(AX24, trackList, 3, FALSE)</f>
        <v>United States</v>
      </c>
      <c r="BA24" s="12" t="str">
        <f>VLOOKUP(AX24, trackList, 4, FALSE)</f>
        <v>Speedway</v>
      </c>
      <c r="BB24" s="12" t="str">
        <f t="shared" si="9"/>
        <v>75 Laps</v>
      </c>
      <c r="BC24" s="12" t="str">
        <f t="shared" si="10"/>
        <v>50 Laps</v>
      </c>
      <c r="BD24" s="12" t="str">
        <f>VLOOKUP(AX24, trackList, 9, FALSE)</f>
        <v>Aero</v>
      </c>
      <c r="BE24" s="17" t="str">
        <f>VLOOKUP(AX24, trackList, 10, FALSE)</f>
        <v>Aero</v>
      </c>
      <c r="BF24" s="18" t="str">
        <f>VLOOKUP(AX24, trackList, 11, FALSE)</f>
        <v>Engine</v>
      </c>
      <c r="BI24" s="5" t="s">
        <v>576</v>
      </c>
      <c r="BJ24" s="5" t="s">
        <v>579</v>
      </c>
      <c r="BK24" s="5" t="s">
        <v>567</v>
      </c>
      <c r="BL24" s="5" t="s">
        <v>584</v>
      </c>
      <c r="BM24" s="5">
        <v>5.3380000000000001</v>
      </c>
      <c r="BN24" s="5">
        <v>3</v>
      </c>
      <c r="BO24" s="5">
        <v>3</v>
      </c>
      <c r="BP24" s="5">
        <v>3</v>
      </c>
      <c r="BQ24" s="5" t="s">
        <v>39</v>
      </c>
      <c r="BR24" s="5" t="s">
        <v>39</v>
      </c>
      <c r="BS24" s="5" t="s">
        <v>2</v>
      </c>
      <c r="BV24" s="4" t="s">
        <v>2</v>
      </c>
      <c r="BZ24" s="5" t="s">
        <v>53</v>
      </c>
      <c r="CA24" s="5">
        <v>0</v>
      </c>
      <c r="CB24" s="5">
        <v>0</v>
      </c>
      <c r="CC24" s="5">
        <v>0</v>
      </c>
      <c r="CF24" s="5" t="s">
        <v>53</v>
      </c>
      <c r="CG24" s="5">
        <v>0</v>
      </c>
      <c r="CH24" s="5">
        <v>0</v>
      </c>
    </row>
    <row r="25" spans="2:86" ht="16.8" customHeight="1" x14ac:dyDescent="0.3">
      <c r="T25" s="5" t="s">
        <v>21</v>
      </c>
      <c r="U25" s="123">
        <v>6</v>
      </c>
      <c r="V25" s="123">
        <v>15</v>
      </c>
      <c r="W25" s="123">
        <v>10</v>
      </c>
      <c r="BI25" s="5" t="s">
        <v>570</v>
      </c>
      <c r="BJ25" s="5" t="s">
        <v>569</v>
      </c>
      <c r="BK25" s="5" t="s">
        <v>570</v>
      </c>
      <c r="BL25" s="5" t="s">
        <v>583</v>
      </c>
      <c r="BM25" s="5">
        <v>4.9269999999999996</v>
      </c>
      <c r="BN25" s="5">
        <v>1</v>
      </c>
      <c r="BO25" s="5">
        <v>2</v>
      </c>
      <c r="BP25" s="5">
        <v>2</v>
      </c>
      <c r="BQ25" s="5" t="s">
        <v>175</v>
      </c>
      <c r="BR25" s="5" t="s">
        <v>39</v>
      </c>
      <c r="BS25" s="5" t="s">
        <v>2</v>
      </c>
      <c r="BZ25" s="5" t="s">
        <v>54</v>
      </c>
      <c r="CA25" s="5">
        <v>0</v>
      </c>
      <c r="CB25" s="5">
        <v>0</v>
      </c>
      <c r="CC25" s="5">
        <v>0</v>
      </c>
      <c r="CF25" s="5" t="s">
        <v>54</v>
      </c>
      <c r="CG25" s="5">
        <v>0</v>
      </c>
      <c r="CH25" s="5">
        <v>0</v>
      </c>
    </row>
    <row r="26" spans="2:86" ht="16.8" customHeight="1" x14ac:dyDescent="0.3">
      <c r="T26" s="5" t="s">
        <v>22</v>
      </c>
      <c r="U26" s="124">
        <v>5</v>
      </c>
      <c r="V26" s="124">
        <v>12</v>
      </c>
      <c r="W26" s="124">
        <v>8</v>
      </c>
      <c r="AO26" s="4">
        <f>4.023 * 95</f>
        <v>382.18499999999995</v>
      </c>
      <c r="BI26" s="5" t="s">
        <v>577</v>
      </c>
      <c r="BJ26" s="5" t="s">
        <v>571</v>
      </c>
      <c r="BK26" s="5" t="s">
        <v>572</v>
      </c>
      <c r="BL26" s="5" t="s">
        <v>584</v>
      </c>
      <c r="BM26" s="5">
        <v>5.39</v>
      </c>
      <c r="BN26" s="5">
        <v>5</v>
      </c>
      <c r="BO26" s="5">
        <v>4</v>
      </c>
      <c r="BP26" s="5">
        <v>3</v>
      </c>
      <c r="BQ26" s="5" t="s">
        <v>1</v>
      </c>
      <c r="BR26" s="5" t="s">
        <v>1</v>
      </c>
      <c r="BS26" s="5" t="s">
        <v>2</v>
      </c>
      <c r="BZ26" s="5" t="s">
        <v>55</v>
      </c>
      <c r="CA26" s="5">
        <v>0</v>
      </c>
      <c r="CB26" s="5">
        <v>0</v>
      </c>
      <c r="CC26" s="5">
        <v>0</v>
      </c>
      <c r="CF26" s="5" t="s">
        <v>55</v>
      </c>
      <c r="CG26" s="5">
        <v>0</v>
      </c>
      <c r="CH26" s="5">
        <v>0</v>
      </c>
    </row>
    <row r="27" spans="2:86" ht="16.8" customHeight="1" x14ac:dyDescent="0.3">
      <c r="T27" s="5" t="s">
        <v>23</v>
      </c>
      <c r="U27" s="124">
        <v>4</v>
      </c>
      <c r="V27" s="124">
        <v>10</v>
      </c>
      <c r="W27" s="124">
        <v>6</v>
      </c>
      <c r="BI27" s="5" t="s">
        <v>574</v>
      </c>
      <c r="BJ27" s="5" t="s">
        <v>573</v>
      </c>
      <c r="BK27" s="5" t="s">
        <v>574</v>
      </c>
      <c r="BL27" s="5" t="s">
        <v>583</v>
      </c>
      <c r="BM27" s="5">
        <v>3.37</v>
      </c>
      <c r="BN27" s="5">
        <v>1</v>
      </c>
      <c r="BO27" s="5">
        <v>1</v>
      </c>
      <c r="BP27" s="5">
        <v>1</v>
      </c>
      <c r="BQ27" s="5" t="s">
        <v>1</v>
      </c>
      <c r="BR27" s="5" t="s">
        <v>39</v>
      </c>
      <c r="BS27" s="5" t="s">
        <v>1</v>
      </c>
      <c r="BZ27" s="5" t="s">
        <v>56</v>
      </c>
      <c r="CA27" s="5">
        <v>0</v>
      </c>
      <c r="CB27" s="5">
        <v>0</v>
      </c>
      <c r="CC27" s="5">
        <v>0</v>
      </c>
      <c r="CF27" s="5" t="s">
        <v>56</v>
      </c>
      <c r="CG27" s="5">
        <v>0</v>
      </c>
      <c r="CH27" s="5">
        <v>0</v>
      </c>
    </row>
    <row r="28" spans="2:86" ht="16.8" customHeight="1" x14ac:dyDescent="0.3">
      <c r="T28" s="5" t="s">
        <v>24</v>
      </c>
      <c r="U28" s="124">
        <v>3</v>
      </c>
      <c r="V28" s="124">
        <v>8</v>
      </c>
      <c r="W28" s="124">
        <v>5</v>
      </c>
      <c r="AN28" s="4" t="s">
        <v>584</v>
      </c>
      <c r="AO28" s="4">
        <v>200</v>
      </c>
      <c r="AP28" s="4">
        <v>165</v>
      </c>
      <c r="BI28" s="5" t="s">
        <v>585</v>
      </c>
      <c r="BJ28" s="5" t="s">
        <v>586</v>
      </c>
      <c r="BK28" s="5" t="s">
        <v>35</v>
      </c>
      <c r="BL28" s="5" t="s">
        <v>583</v>
      </c>
      <c r="BM28" s="5">
        <v>3.1669999999999998</v>
      </c>
      <c r="BN28" s="5">
        <v>1</v>
      </c>
      <c r="BO28" s="5">
        <v>1</v>
      </c>
      <c r="BP28" s="5">
        <v>1</v>
      </c>
      <c r="BQ28" s="5" t="s">
        <v>1</v>
      </c>
      <c r="BR28" s="5" t="s">
        <v>39</v>
      </c>
      <c r="BS28" s="5" t="s">
        <v>1</v>
      </c>
      <c r="BZ28" s="5" t="s">
        <v>57</v>
      </c>
      <c r="CA28" s="5">
        <v>0</v>
      </c>
      <c r="CB28" s="5">
        <v>0</v>
      </c>
      <c r="CC28" s="5">
        <v>0</v>
      </c>
      <c r="CF28" s="5" t="s">
        <v>57</v>
      </c>
      <c r="CG28" s="5">
        <v>0</v>
      </c>
      <c r="CH28" s="5">
        <v>0</v>
      </c>
    </row>
    <row r="29" spans="2:86" ht="16.8" customHeight="1" x14ac:dyDescent="0.3">
      <c r="B29" s="183" t="s">
        <v>136</v>
      </c>
      <c r="C29" s="179"/>
      <c r="D29" s="179"/>
      <c r="E29" s="179"/>
      <c r="T29" s="5" t="s">
        <v>25</v>
      </c>
      <c r="U29" s="124">
        <v>2</v>
      </c>
      <c r="V29" s="124">
        <v>6</v>
      </c>
      <c r="W29" s="124">
        <v>4</v>
      </c>
      <c r="AN29" s="4" t="s">
        <v>583</v>
      </c>
      <c r="AO29" s="4">
        <v>195</v>
      </c>
      <c r="AP29" s="4">
        <v>160</v>
      </c>
      <c r="BI29" s="5" t="s">
        <v>587</v>
      </c>
      <c r="BJ29" s="5" t="s">
        <v>588</v>
      </c>
      <c r="BK29" s="5" t="s">
        <v>37</v>
      </c>
      <c r="BL29" s="5" t="s">
        <v>584</v>
      </c>
      <c r="BM29" s="5">
        <v>4.9089999999999998</v>
      </c>
      <c r="BN29" s="5">
        <v>2</v>
      </c>
      <c r="BO29" s="5">
        <v>2</v>
      </c>
      <c r="BP29" s="5">
        <v>3</v>
      </c>
      <c r="BQ29" s="5" t="s">
        <v>1</v>
      </c>
      <c r="BR29" s="5" t="s">
        <v>1</v>
      </c>
      <c r="BS29" s="5" t="s">
        <v>175</v>
      </c>
      <c r="BZ29" s="5" t="s">
        <v>315</v>
      </c>
      <c r="CA29" s="5">
        <v>0</v>
      </c>
      <c r="CB29" s="5">
        <v>0</v>
      </c>
      <c r="CC29" s="5">
        <v>0</v>
      </c>
      <c r="CF29" s="5" t="s">
        <v>315</v>
      </c>
      <c r="CG29" s="5">
        <v>0</v>
      </c>
      <c r="CH29" s="5">
        <v>0</v>
      </c>
    </row>
    <row r="30" spans="2:86" ht="16.8" customHeight="1" x14ac:dyDescent="0.3">
      <c r="B30" s="179"/>
      <c r="C30" s="179"/>
      <c r="D30" s="179"/>
      <c r="E30" s="179"/>
      <c r="T30" s="5" t="s">
        <v>26</v>
      </c>
      <c r="U30" s="124">
        <v>1</v>
      </c>
      <c r="V30" s="124">
        <v>5</v>
      </c>
      <c r="W30" s="124">
        <v>3</v>
      </c>
      <c r="AN30" s="4" t="s">
        <v>610</v>
      </c>
      <c r="AO30" s="4">
        <v>300</v>
      </c>
      <c r="AP30" s="4">
        <v>215</v>
      </c>
      <c r="BI30" s="5" t="s">
        <v>611</v>
      </c>
      <c r="BJ30" s="5" t="s">
        <v>615</v>
      </c>
      <c r="BK30" s="5" t="s">
        <v>35</v>
      </c>
      <c r="BL30" s="5" t="s">
        <v>610</v>
      </c>
      <c r="BM30" s="5">
        <v>2.4140000000000001</v>
      </c>
      <c r="BN30" s="5">
        <v>1</v>
      </c>
      <c r="BO30" s="5">
        <v>1</v>
      </c>
      <c r="BP30" s="5">
        <v>1</v>
      </c>
      <c r="BQ30" s="5" t="s">
        <v>175</v>
      </c>
      <c r="BR30" s="5" t="s">
        <v>39</v>
      </c>
      <c r="BS30" s="5" t="s">
        <v>2</v>
      </c>
      <c r="BZ30" s="5" t="s">
        <v>316</v>
      </c>
      <c r="CA30" s="5">
        <v>0</v>
      </c>
      <c r="CB30" s="5">
        <v>0</v>
      </c>
      <c r="CC30" s="5">
        <v>0</v>
      </c>
      <c r="CF30" s="5" t="s">
        <v>316</v>
      </c>
      <c r="CG30" s="5">
        <v>0</v>
      </c>
      <c r="CH30" s="5">
        <v>0</v>
      </c>
    </row>
    <row r="31" spans="2:86" ht="16.8" customHeight="1" x14ac:dyDescent="0.3">
      <c r="B31" s="5" t="s">
        <v>0</v>
      </c>
      <c r="C31" s="5" t="s">
        <v>1</v>
      </c>
      <c r="D31" s="5" t="s">
        <v>2</v>
      </c>
      <c r="E31" s="5" t="s">
        <v>3</v>
      </c>
      <c r="T31" s="5" t="s">
        <v>27</v>
      </c>
      <c r="U31" s="5"/>
      <c r="V31" s="124">
        <v>4</v>
      </c>
      <c r="W31" s="124">
        <v>2</v>
      </c>
      <c r="AN31" s="4" t="s">
        <v>614</v>
      </c>
      <c r="AO31" s="4">
        <v>300</v>
      </c>
      <c r="AP31" s="4">
        <v>215</v>
      </c>
      <c r="BI31" s="5" t="s">
        <v>612</v>
      </c>
      <c r="BJ31" s="5" t="s">
        <v>616</v>
      </c>
      <c r="BK31" s="5" t="s">
        <v>35</v>
      </c>
      <c r="BL31" s="5" t="s">
        <v>610</v>
      </c>
      <c r="BM31" s="5">
        <v>2.012</v>
      </c>
      <c r="BN31" s="5">
        <v>1</v>
      </c>
      <c r="BO31" s="5">
        <v>1</v>
      </c>
      <c r="BP31" s="5">
        <v>1</v>
      </c>
      <c r="BQ31" s="5" t="s">
        <v>39</v>
      </c>
      <c r="BR31" s="5" t="s">
        <v>39</v>
      </c>
      <c r="BS31" s="5" t="s">
        <v>1</v>
      </c>
      <c r="BZ31" s="5" t="s">
        <v>317</v>
      </c>
      <c r="CA31" s="5">
        <v>0</v>
      </c>
      <c r="CB31" s="5">
        <v>0</v>
      </c>
      <c r="CC31" s="5">
        <v>0</v>
      </c>
      <c r="CF31" s="5" t="s">
        <v>317</v>
      </c>
      <c r="CG31" s="5">
        <v>0</v>
      </c>
      <c r="CH31" s="5">
        <v>0</v>
      </c>
    </row>
    <row r="32" spans="2:86" ht="16.8" customHeight="1" x14ac:dyDescent="0.3">
      <c r="B32" s="5" t="s">
        <v>159</v>
      </c>
      <c r="C32" s="5" t="s">
        <v>4</v>
      </c>
      <c r="D32" s="5"/>
      <c r="E32" s="5" t="s">
        <v>12</v>
      </c>
      <c r="T32" s="5" t="s">
        <v>28</v>
      </c>
      <c r="U32" s="5"/>
      <c r="V32" s="124">
        <v>3</v>
      </c>
      <c r="W32" s="124">
        <v>1</v>
      </c>
      <c r="BI32" s="5" t="s">
        <v>613</v>
      </c>
      <c r="BJ32" s="5" t="s">
        <v>617</v>
      </c>
      <c r="BK32" s="5" t="s">
        <v>35</v>
      </c>
      <c r="BL32" s="5" t="s">
        <v>614</v>
      </c>
      <c r="BM32" s="5">
        <v>2.4140000000000001</v>
      </c>
      <c r="BN32" s="5">
        <v>1</v>
      </c>
      <c r="BO32" s="5">
        <v>1</v>
      </c>
      <c r="BP32" s="5">
        <v>1</v>
      </c>
      <c r="BQ32" s="5" t="s">
        <v>39</v>
      </c>
      <c r="BR32" s="5" t="s">
        <v>39</v>
      </c>
      <c r="BS32" s="5" t="s">
        <v>2</v>
      </c>
      <c r="BZ32" s="5" t="s">
        <v>318</v>
      </c>
      <c r="CA32" s="5">
        <v>0</v>
      </c>
      <c r="CB32" s="5">
        <v>0</v>
      </c>
      <c r="CC32" s="5">
        <v>0</v>
      </c>
      <c r="CF32" s="5" t="s">
        <v>318</v>
      </c>
      <c r="CG32" s="5">
        <v>0</v>
      </c>
      <c r="CH32" s="5">
        <v>0</v>
      </c>
    </row>
    <row r="33" spans="2:86" ht="16.8" customHeight="1" x14ac:dyDescent="0.3">
      <c r="B33" s="5" t="s">
        <v>161</v>
      </c>
      <c r="C33" s="5" t="s">
        <v>4</v>
      </c>
      <c r="D33" s="5"/>
      <c r="E33" s="5" t="s">
        <v>12</v>
      </c>
      <c r="T33" s="5" t="s">
        <v>29</v>
      </c>
      <c r="U33" s="5"/>
      <c r="V33" s="124">
        <v>2</v>
      </c>
      <c r="W33" s="5"/>
      <c r="BI33" s="5" t="s">
        <v>619</v>
      </c>
      <c r="BJ33" s="5" t="s">
        <v>620</v>
      </c>
      <c r="BK33" s="5" t="s">
        <v>35</v>
      </c>
      <c r="BL33" s="5" t="s">
        <v>583</v>
      </c>
      <c r="BM33" s="5">
        <v>4.3680000000000003</v>
      </c>
      <c r="BN33" s="5">
        <v>1</v>
      </c>
      <c r="BO33" s="5">
        <v>1</v>
      </c>
      <c r="BP33" s="5">
        <v>3</v>
      </c>
      <c r="BQ33" s="5" t="s">
        <v>175</v>
      </c>
      <c r="BR33" s="5" t="s">
        <v>39</v>
      </c>
      <c r="BS33" s="5" t="s">
        <v>2</v>
      </c>
      <c r="BZ33" s="5" t="s">
        <v>319</v>
      </c>
      <c r="CA33" s="5">
        <v>0</v>
      </c>
      <c r="CB33" s="5">
        <v>0</v>
      </c>
      <c r="CC33" s="5">
        <v>0</v>
      </c>
      <c r="CF33" s="5" t="s">
        <v>319</v>
      </c>
      <c r="CG33" s="5">
        <v>0</v>
      </c>
      <c r="CH33" s="5">
        <v>0</v>
      </c>
    </row>
    <row r="34" spans="2:86" ht="16.8" customHeight="1" x14ac:dyDescent="0.3">
      <c r="B34" s="5" t="s">
        <v>162</v>
      </c>
      <c r="C34" s="5" t="s">
        <v>4</v>
      </c>
      <c r="D34" s="5"/>
      <c r="E34" s="5" t="s">
        <v>12</v>
      </c>
      <c r="T34" s="5" t="s">
        <v>30</v>
      </c>
      <c r="U34" s="5"/>
      <c r="V34" s="124">
        <v>1</v>
      </c>
      <c r="W34" s="5"/>
      <c r="BI34" s="5" t="s">
        <v>623</v>
      </c>
      <c r="BJ34" s="5" t="s">
        <v>625</v>
      </c>
      <c r="BK34" s="5" t="s">
        <v>35</v>
      </c>
      <c r="BL34" s="5" t="s">
        <v>614</v>
      </c>
      <c r="BM34" s="5">
        <v>4.0229999999999997</v>
      </c>
      <c r="BN34" s="5">
        <v>1</v>
      </c>
      <c r="BO34" s="5">
        <v>1</v>
      </c>
      <c r="BP34" s="5">
        <v>1</v>
      </c>
      <c r="BQ34" s="5" t="s">
        <v>39</v>
      </c>
      <c r="BR34" s="5" t="s">
        <v>39</v>
      </c>
      <c r="BS34" s="5" t="s">
        <v>2</v>
      </c>
      <c r="BZ34" s="5" t="s">
        <v>320</v>
      </c>
      <c r="CA34" s="5">
        <v>0</v>
      </c>
      <c r="CB34" s="5">
        <v>0</v>
      </c>
      <c r="CC34" s="5">
        <v>0</v>
      </c>
      <c r="CF34" s="5" t="s">
        <v>320</v>
      </c>
      <c r="CG34" s="5">
        <v>0</v>
      </c>
      <c r="CH34" s="5">
        <v>0</v>
      </c>
    </row>
    <row r="35" spans="2:86" ht="16.8" customHeight="1" x14ac:dyDescent="0.3">
      <c r="B35" s="5" t="s">
        <v>163</v>
      </c>
      <c r="C35" s="5" t="s">
        <v>4</v>
      </c>
      <c r="D35" s="5"/>
      <c r="E35" s="5" t="s">
        <v>12</v>
      </c>
      <c r="BI35" s="5" t="s">
        <v>624</v>
      </c>
      <c r="BJ35" s="5" t="s">
        <v>626</v>
      </c>
      <c r="BK35" s="5" t="s">
        <v>35</v>
      </c>
      <c r="BL35" s="5" t="s">
        <v>584</v>
      </c>
      <c r="BM35" s="5">
        <v>3.923</v>
      </c>
      <c r="BN35" s="5">
        <v>3</v>
      </c>
      <c r="BO35" s="5">
        <v>2</v>
      </c>
      <c r="BP35" s="5">
        <v>2</v>
      </c>
      <c r="BQ35" s="5" t="s">
        <v>175</v>
      </c>
      <c r="BR35" s="5" t="s">
        <v>39</v>
      </c>
      <c r="BS35" s="5" t="s">
        <v>2</v>
      </c>
      <c r="BZ35" s="5" t="s">
        <v>169</v>
      </c>
      <c r="CA35" s="5">
        <v>0</v>
      </c>
      <c r="CB35" s="5">
        <v>0</v>
      </c>
      <c r="CC35" s="5">
        <v>0</v>
      </c>
      <c r="CF35" s="5" t="s">
        <v>169</v>
      </c>
      <c r="CG35" s="5">
        <v>0</v>
      </c>
      <c r="CH35" s="5">
        <v>0</v>
      </c>
    </row>
    <row r="36" spans="2:86" ht="16.8" customHeight="1" x14ac:dyDescent="0.3">
      <c r="B36" s="5" t="s">
        <v>164</v>
      </c>
      <c r="C36" s="5" t="s">
        <v>4</v>
      </c>
      <c r="D36" s="5"/>
      <c r="E36" s="5" t="s">
        <v>12</v>
      </c>
      <c r="BI36" s="5" t="s">
        <v>627</v>
      </c>
      <c r="BJ36" s="5" t="s">
        <v>628</v>
      </c>
      <c r="BK36" s="5" t="s">
        <v>629</v>
      </c>
      <c r="BL36" s="5" t="s">
        <v>584</v>
      </c>
      <c r="BM36" s="5">
        <v>5.4509999999999996</v>
      </c>
      <c r="BN36" s="5">
        <v>4</v>
      </c>
      <c r="BO36" s="5">
        <v>3</v>
      </c>
      <c r="BP36" s="5">
        <v>2</v>
      </c>
      <c r="BQ36" s="5" t="s">
        <v>39</v>
      </c>
      <c r="BR36" s="5" t="s">
        <v>39</v>
      </c>
      <c r="BS36" s="5" t="s">
        <v>2</v>
      </c>
      <c r="BZ36" s="5" t="s">
        <v>304</v>
      </c>
      <c r="CA36" s="5">
        <v>0</v>
      </c>
      <c r="CB36" s="5">
        <v>0</v>
      </c>
      <c r="CC36" s="5">
        <v>0</v>
      </c>
      <c r="CF36" s="5" t="s">
        <v>304</v>
      </c>
      <c r="CG36" s="5">
        <v>0</v>
      </c>
      <c r="CH36" s="5">
        <v>0</v>
      </c>
    </row>
    <row r="37" spans="2:86" ht="16.8" customHeight="1" x14ac:dyDescent="0.3">
      <c r="B37" s="5" t="s">
        <v>165</v>
      </c>
      <c r="C37" s="5" t="s">
        <v>4</v>
      </c>
      <c r="D37" s="5"/>
      <c r="E37" s="5" t="s">
        <v>12</v>
      </c>
      <c r="T37" s="183" t="s">
        <v>143</v>
      </c>
      <c r="U37" s="179"/>
      <c r="V37" s="179"/>
      <c r="W37" s="179"/>
      <c r="BI37" s="170" t="s">
        <v>725</v>
      </c>
      <c r="BJ37" s="5" t="s">
        <v>726</v>
      </c>
      <c r="BK37" s="5" t="s">
        <v>430</v>
      </c>
      <c r="BL37" s="5" t="s">
        <v>584</v>
      </c>
      <c r="BM37" s="5">
        <v>4.8010000000000002</v>
      </c>
      <c r="BN37" s="5"/>
      <c r="BO37" s="5"/>
      <c r="BP37" s="5"/>
      <c r="BQ37" s="5" t="s">
        <v>1</v>
      </c>
      <c r="BR37" s="5" t="s">
        <v>39</v>
      </c>
      <c r="BS37" s="5" t="s">
        <v>2</v>
      </c>
      <c r="BZ37" s="5" t="s">
        <v>170</v>
      </c>
      <c r="CA37" s="5">
        <v>0</v>
      </c>
      <c r="CB37" s="5">
        <v>0</v>
      </c>
      <c r="CC37" s="5">
        <v>0</v>
      </c>
      <c r="CF37" s="5" t="s">
        <v>170</v>
      </c>
      <c r="CG37" s="5">
        <v>0</v>
      </c>
      <c r="CH37" s="5">
        <v>0</v>
      </c>
    </row>
    <row r="38" spans="2:86" ht="16.8" customHeight="1" x14ac:dyDescent="0.3">
      <c r="B38" s="5" t="s">
        <v>166</v>
      </c>
      <c r="C38" s="5" t="s">
        <v>4</v>
      </c>
      <c r="D38" s="5"/>
      <c r="E38" s="5" t="s">
        <v>12</v>
      </c>
      <c r="T38" s="179"/>
      <c r="U38" s="179"/>
      <c r="V38" s="179"/>
      <c r="W38" s="179"/>
      <c r="BI38" s="170" t="s">
        <v>724</v>
      </c>
      <c r="BJ38" s="5" t="s">
        <v>727</v>
      </c>
      <c r="BK38" s="5" t="s">
        <v>430</v>
      </c>
      <c r="BL38" s="5" t="s">
        <v>614</v>
      </c>
      <c r="BM38" s="5">
        <v>2.4929999999999999</v>
      </c>
      <c r="BN38" s="5"/>
      <c r="BO38" s="5"/>
      <c r="BP38" s="5"/>
      <c r="BQ38" s="5" t="s">
        <v>39</v>
      </c>
      <c r="BR38" s="5" t="s">
        <v>39</v>
      </c>
      <c r="BS38" s="5" t="s">
        <v>2</v>
      </c>
      <c r="BZ38" s="5" t="s">
        <v>411</v>
      </c>
      <c r="CA38" s="5">
        <v>0</v>
      </c>
      <c r="CB38" s="5">
        <v>0</v>
      </c>
      <c r="CC38" s="5">
        <v>0</v>
      </c>
      <c r="CF38" s="5" t="s">
        <v>411</v>
      </c>
      <c r="CG38" s="5">
        <v>0</v>
      </c>
      <c r="CH38" s="5">
        <v>0</v>
      </c>
    </row>
    <row r="39" spans="2:86" ht="16.8" customHeight="1" x14ac:dyDescent="0.3">
      <c r="B39" s="5" t="s">
        <v>167</v>
      </c>
      <c r="C39" s="5" t="s">
        <v>4</v>
      </c>
      <c r="D39" s="5"/>
      <c r="E39" s="5" t="s">
        <v>12</v>
      </c>
      <c r="T39" s="5" t="s">
        <v>15</v>
      </c>
      <c r="U39" s="5" t="s">
        <v>16</v>
      </c>
      <c r="V39" s="5" t="s">
        <v>17</v>
      </c>
      <c r="W39" s="5" t="s">
        <v>18</v>
      </c>
      <c r="BI39" s="170" t="s">
        <v>729</v>
      </c>
      <c r="BJ39" s="5" t="s">
        <v>731</v>
      </c>
      <c r="BK39" s="5" t="s">
        <v>730</v>
      </c>
      <c r="BL39" s="5" t="s">
        <v>584</v>
      </c>
      <c r="BM39" s="5">
        <v>4.6529999999999996</v>
      </c>
      <c r="BN39" s="5"/>
      <c r="BO39" s="5"/>
      <c r="BP39" s="5"/>
      <c r="BQ39" s="5" t="s">
        <v>39</v>
      </c>
      <c r="BR39" s="5" t="s">
        <v>39</v>
      </c>
      <c r="BS39" s="5" t="s">
        <v>2</v>
      </c>
      <c r="BZ39" s="5" t="s">
        <v>171</v>
      </c>
      <c r="CA39" s="5">
        <v>0</v>
      </c>
      <c r="CB39" s="5">
        <v>0</v>
      </c>
      <c r="CC39" s="5">
        <v>0</v>
      </c>
      <c r="CF39" s="5" t="s">
        <v>171</v>
      </c>
      <c r="CG39" s="5">
        <v>0</v>
      </c>
      <c r="CH39" s="5">
        <v>0</v>
      </c>
    </row>
    <row r="40" spans="2:86" ht="16.8" customHeight="1" x14ac:dyDescent="0.3">
      <c r="B40" s="5" t="s">
        <v>168</v>
      </c>
      <c r="C40" s="5" t="s">
        <v>4</v>
      </c>
      <c r="D40" s="5"/>
      <c r="E40" s="5" t="s">
        <v>12</v>
      </c>
      <c r="T40" s="5" t="s">
        <v>19</v>
      </c>
      <c r="U40" s="56">
        <v>10</v>
      </c>
      <c r="V40" s="56">
        <v>25</v>
      </c>
      <c r="W40" s="56">
        <v>15</v>
      </c>
      <c r="BI40" s="170" t="s">
        <v>728</v>
      </c>
      <c r="BJ40" s="5" t="s">
        <v>732</v>
      </c>
      <c r="BK40" s="5" t="s">
        <v>730</v>
      </c>
      <c r="BL40" s="5" t="s">
        <v>584</v>
      </c>
      <c r="BM40" s="5">
        <v>4.1820000000000004</v>
      </c>
      <c r="BN40" s="5"/>
      <c r="BO40" s="5"/>
      <c r="BP40" s="5"/>
      <c r="BQ40" s="5" t="s">
        <v>39</v>
      </c>
      <c r="BR40" s="5" t="s">
        <v>1</v>
      </c>
      <c r="BS40" s="5" t="s">
        <v>2</v>
      </c>
      <c r="BZ40" s="5" t="s">
        <v>172</v>
      </c>
      <c r="CA40" s="5">
        <v>0</v>
      </c>
      <c r="CB40" s="5">
        <v>0</v>
      </c>
      <c r="CC40" s="5">
        <v>0</v>
      </c>
      <c r="CF40" s="5" t="s">
        <v>172</v>
      </c>
      <c r="CG40" s="5">
        <v>0</v>
      </c>
      <c r="CH40" s="5">
        <v>0</v>
      </c>
    </row>
    <row r="41" spans="2:86" ht="16.8" customHeight="1" x14ac:dyDescent="0.3">
      <c r="B41" s="5" t="s">
        <v>160</v>
      </c>
      <c r="C41" s="5" t="s">
        <v>4</v>
      </c>
      <c r="D41" s="5"/>
      <c r="E41" s="5" t="s">
        <v>12</v>
      </c>
      <c r="T41" s="5" t="s">
        <v>20</v>
      </c>
      <c r="U41" s="122">
        <v>8</v>
      </c>
      <c r="V41" s="122">
        <v>18</v>
      </c>
      <c r="W41" s="122">
        <v>12</v>
      </c>
      <c r="BI41" s="170" t="s">
        <v>733</v>
      </c>
      <c r="BJ41" s="5" t="s">
        <v>734</v>
      </c>
      <c r="BK41" s="5" t="s">
        <v>735</v>
      </c>
      <c r="BL41" s="5" t="s">
        <v>584</v>
      </c>
      <c r="BM41" s="5">
        <v>4.3040000000000003</v>
      </c>
      <c r="BN41" s="5"/>
      <c r="BO41" s="5"/>
      <c r="BP41" s="5"/>
      <c r="BQ41" s="5" t="s">
        <v>39</v>
      </c>
      <c r="BR41" s="5" t="s">
        <v>39</v>
      </c>
      <c r="BS41" s="5" t="s">
        <v>2</v>
      </c>
      <c r="BZ41" s="5" t="s">
        <v>399</v>
      </c>
      <c r="CA41" s="5">
        <v>0</v>
      </c>
      <c r="CB41" s="5">
        <v>0</v>
      </c>
      <c r="CC41" s="5">
        <v>0</v>
      </c>
      <c r="CF41" s="5" t="s">
        <v>399</v>
      </c>
      <c r="CG41" s="5">
        <v>0</v>
      </c>
      <c r="CH41" s="5">
        <v>0</v>
      </c>
    </row>
    <row r="42" spans="2:86" ht="16.8" customHeight="1" x14ac:dyDescent="0.3">
      <c r="T42" s="5" t="s">
        <v>21</v>
      </c>
      <c r="U42" s="123">
        <v>6</v>
      </c>
      <c r="V42" s="123">
        <v>15</v>
      </c>
      <c r="W42" s="123">
        <v>10</v>
      </c>
      <c r="BI42" s="170" t="s">
        <v>748</v>
      </c>
      <c r="BJ42" s="5" t="s">
        <v>750</v>
      </c>
      <c r="BK42" s="5" t="s">
        <v>38</v>
      </c>
      <c r="BL42" s="5" t="s">
        <v>584</v>
      </c>
      <c r="BM42" s="5">
        <v>3.2989999999999999</v>
      </c>
      <c r="BN42" s="5"/>
      <c r="BO42" s="5"/>
      <c r="BP42" s="5"/>
      <c r="BQ42" s="5" t="s">
        <v>39</v>
      </c>
      <c r="BR42" s="5" t="s">
        <v>1</v>
      </c>
      <c r="BS42" s="5" t="s">
        <v>2</v>
      </c>
      <c r="BZ42" s="5" t="s">
        <v>305</v>
      </c>
      <c r="CA42" s="5">
        <v>0</v>
      </c>
      <c r="CB42" s="5">
        <v>0</v>
      </c>
      <c r="CC42" s="5">
        <v>0</v>
      </c>
      <c r="CF42" s="5" t="s">
        <v>305</v>
      </c>
      <c r="CG42" s="5">
        <v>0</v>
      </c>
      <c r="CH42" s="5">
        <v>0</v>
      </c>
    </row>
    <row r="43" spans="2:86" ht="16.8" customHeight="1" x14ac:dyDescent="0.3">
      <c r="T43" s="5" t="s">
        <v>22</v>
      </c>
      <c r="U43" s="124">
        <v>5</v>
      </c>
      <c r="V43" s="124">
        <v>12</v>
      </c>
      <c r="W43" s="124">
        <v>9</v>
      </c>
      <c r="BI43" s="170" t="s">
        <v>749</v>
      </c>
      <c r="BJ43" s="5" t="s">
        <v>751</v>
      </c>
      <c r="BK43" s="5" t="s">
        <v>38</v>
      </c>
      <c r="BL43" s="5" t="s">
        <v>614</v>
      </c>
      <c r="BM43" s="5">
        <v>2.38</v>
      </c>
      <c r="BN43" s="5"/>
      <c r="BO43" s="5"/>
      <c r="BP43" s="5"/>
      <c r="BQ43" s="5" t="s">
        <v>39</v>
      </c>
      <c r="BR43" s="5" t="s">
        <v>39</v>
      </c>
      <c r="BS43" s="5" t="s">
        <v>2</v>
      </c>
    </row>
    <row r="44" spans="2:86" ht="16.8" customHeight="1" x14ac:dyDescent="0.3">
      <c r="T44" s="5" t="s">
        <v>23</v>
      </c>
      <c r="U44" s="124">
        <v>4</v>
      </c>
      <c r="V44" s="124">
        <v>10</v>
      </c>
      <c r="W44" s="124">
        <v>8</v>
      </c>
    </row>
    <row r="45" spans="2:86" ht="16.8" customHeight="1" x14ac:dyDescent="0.3">
      <c r="T45" s="5" t="s">
        <v>24</v>
      </c>
      <c r="U45" s="124">
        <v>3</v>
      </c>
      <c r="V45" s="124">
        <v>8</v>
      </c>
      <c r="W45" s="124">
        <v>7</v>
      </c>
    </row>
    <row r="46" spans="2:86" ht="16.8" customHeight="1" x14ac:dyDescent="0.3">
      <c r="T46" s="5" t="s">
        <v>25</v>
      </c>
      <c r="U46" s="124">
        <v>2</v>
      </c>
      <c r="V46" s="124">
        <v>6</v>
      </c>
      <c r="W46" s="124">
        <v>6</v>
      </c>
    </row>
    <row r="47" spans="2:86" ht="16.8" customHeight="1" x14ac:dyDescent="0.3">
      <c r="T47" s="5" t="s">
        <v>26</v>
      </c>
      <c r="U47" s="124">
        <v>1</v>
      </c>
      <c r="V47" s="124">
        <v>5</v>
      </c>
      <c r="W47" s="124">
        <v>5</v>
      </c>
    </row>
    <row r="48" spans="2:86" ht="16.8" customHeight="1" x14ac:dyDescent="0.3">
      <c r="T48" s="5" t="s">
        <v>27</v>
      </c>
      <c r="U48" s="5"/>
      <c r="V48" s="124">
        <v>4</v>
      </c>
      <c r="W48" s="124">
        <v>4</v>
      </c>
    </row>
    <row r="49" spans="20:23" ht="16.8" customHeight="1" x14ac:dyDescent="0.3">
      <c r="T49" s="5" t="s">
        <v>28</v>
      </c>
      <c r="U49" s="5"/>
      <c r="V49" s="124">
        <v>3</v>
      </c>
      <c r="W49" s="124">
        <v>3</v>
      </c>
    </row>
    <row r="50" spans="20:23" ht="16.8" customHeight="1" x14ac:dyDescent="0.3">
      <c r="T50" s="5" t="s">
        <v>29</v>
      </c>
      <c r="U50" s="5"/>
      <c r="V50" s="124">
        <v>2</v>
      </c>
      <c r="W50" s="124">
        <v>2</v>
      </c>
    </row>
    <row r="51" spans="20:23" ht="16.8" customHeight="1" x14ac:dyDescent="0.3">
      <c r="T51" s="5" t="s">
        <v>30</v>
      </c>
      <c r="U51" s="5"/>
      <c r="V51" s="124">
        <v>1</v>
      </c>
      <c r="W51" s="124">
        <v>1</v>
      </c>
    </row>
    <row r="52" spans="20:23" ht="16.8" customHeight="1" x14ac:dyDescent="0.3">
      <c r="T52" s="5" t="s">
        <v>58</v>
      </c>
      <c r="U52" s="5"/>
      <c r="V52" s="5"/>
      <c r="W52" s="5">
        <v>1</v>
      </c>
    </row>
  </sheetData>
  <sortState xmlns:xlrd2="http://schemas.microsoft.com/office/spreadsheetml/2017/richdata2" ref="J5:J8">
    <sortCondition ref="J5:J8"/>
  </sortState>
  <mergeCells count="26">
    <mergeCell ref="CF2:CH2"/>
    <mergeCell ref="CF3:CH3"/>
    <mergeCell ref="T37:W38"/>
    <mergeCell ref="B29:E30"/>
    <mergeCell ref="AE2:AF3"/>
    <mergeCell ref="T20:W21"/>
    <mergeCell ref="B2:E2"/>
    <mergeCell ref="B3:E3"/>
    <mergeCell ref="Z2:AB2"/>
    <mergeCell ref="Z3:AB3"/>
    <mergeCell ref="BZ3:CC3"/>
    <mergeCell ref="BZ2:CC2"/>
    <mergeCell ref="BV12:BW13"/>
    <mergeCell ref="BV2:BW3"/>
    <mergeCell ref="K5:K6"/>
    <mergeCell ref="AI2:AS2"/>
    <mergeCell ref="AI3:AS3"/>
    <mergeCell ref="T2:W2"/>
    <mergeCell ref="T3:W3"/>
    <mergeCell ref="AR4:AS4"/>
    <mergeCell ref="BI2:BS2"/>
    <mergeCell ref="BI3:BS3"/>
    <mergeCell ref="BR4:BS4"/>
    <mergeCell ref="AV2:BF2"/>
    <mergeCell ref="AV3:BF3"/>
    <mergeCell ref="BE4:BF4"/>
  </mergeCells>
  <phoneticPr fontId="1" type="noConversion"/>
  <conditionalFormatting sqref="C5:C15">
    <cfRule type="cellIs" dxfId="272" priority="25" operator="equal">
      <formula>"Lola"</formula>
    </cfRule>
    <cfRule type="cellIs" dxfId="271" priority="59" operator="equal">
      <formula>"March"</formula>
    </cfRule>
    <cfRule type="cellIs" dxfId="270" priority="60" operator="equal">
      <formula>"Reynard"</formula>
    </cfRule>
    <cfRule type="cellIs" dxfId="269" priority="61" operator="equal">
      <formula>"Tatuus"</formula>
    </cfRule>
  </conditionalFormatting>
  <conditionalFormatting sqref="C17:C18">
    <cfRule type="cellIs" dxfId="268" priority="1" operator="equal">
      <formula>"Lola"</formula>
    </cfRule>
    <cfRule type="cellIs" dxfId="267" priority="10" operator="equal">
      <formula>"March"</formula>
    </cfRule>
    <cfRule type="cellIs" dxfId="266" priority="11" operator="equal">
      <formula>"Reynard"</formula>
    </cfRule>
    <cfRule type="cellIs" dxfId="265" priority="12" operator="equal">
      <formula>"Tatuus"</formula>
    </cfRule>
  </conditionalFormatting>
  <conditionalFormatting sqref="C32:C41">
    <cfRule type="cellIs" dxfId="264" priority="34" operator="equal">
      <formula>"Dallara"</formula>
    </cfRule>
    <cfRule type="cellIs" dxfId="263" priority="35" operator="equal">
      <formula>"Reynard"</formula>
    </cfRule>
    <cfRule type="cellIs" dxfId="262" priority="36" operator="equal">
      <formula>"Tatuus"</formula>
    </cfRule>
    <cfRule type="cellIs" dxfId="261" priority="37" operator="equal">
      <formula>"Lola"</formula>
    </cfRule>
  </conditionalFormatting>
  <conditionalFormatting sqref="D5:D15">
    <cfRule type="cellIs" dxfId="260" priority="54" operator="equal">
      <formula>"Chevrolet"</formula>
    </cfRule>
    <cfRule type="cellIs" dxfId="259" priority="55" operator="equal">
      <formula>"Honda"</formula>
    </cfRule>
    <cfRule type="cellIs" dxfId="258" priority="56" operator="equal">
      <formula>"Porsche"</formula>
    </cfRule>
    <cfRule type="cellIs" dxfId="257" priority="57" operator="equal">
      <formula>"Toyota"</formula>
    </cfRule>
  </conditionalFormatting>
  <conditionalFormatting sqref="D17:D18">
    <cfRule type="cellIs" dxfId="256" priority="6" operator="equal">
      <formula>"Chevrolet"</formula>
    </cfRule>
    <cfRule type="cellIs" dxfId="255" priority="7" operator="equal">
      <formula>"Honda"</formula>
    </cfRule>
    <cfRule type="cellIs" dxfId="254" priority="8" operator="equal">
      <formula>"Porsche"</formula>
    </cfRule>
    <cfRule type="cellIs" dxfId="253" priority="9" operator="equal">
      <formula>"Toyota"</formula>
    </cfRule>
  </conditionalFormatting>
  <conditionalFormatting sqref="D32:D41">
    <cfRule type="cellIs" dxfId="252" priority="30" operator="equal">
      <formula>"Honda"</formula>
    </cfRule>
    <cfRule type="cellIs" dxfId="251" priority="31" operator="equal">
      <formula>"Chevrolet"</formula>
    </cfRule>
    <cfRule type="cellIs" dxfId="250" priority="32" operator="equal">
      <formula>"Toyota"</formula>
    </cfRule>
    <cfRule type="cellIs" dxfId="249" priority="33" operator="equal">
      <formula>"Porsche"</formula>
    </cfRule>
  </conditionalFormatting>
  <conditionalFormatting sqref="E5:E15">
    <cfRule type="cellIs" dxfId="248" priority="50" operator="equal">
      <formula>"Firestone"</formula>
    </cfRule>
    <cfRule type="cellIs" dxfId="247" priority="51" operator="equal">
      <formula>"Pirelli"</formula>
    </cfRule>
    <cfRule type="cellIs" dxfId="246" priority="52" operator="equal">
      <formula>"Michelin"</formula>
    </cfRule>
    <cfRule type="cellIs" dxfId="245" priority="53" operator="equal">
      <formula>"Hankook"</formula>
    </cfRule>
  </conditionalFormatting>
  <conditionalFormatting sqref="E17:E18">
    <cfRule type="cellIs" dxfId="244" priority="2" operator="equal">
      <formula>"Firestone"</formula>
    </cfRule>
    <cfRule type="cellIs" dxfId="243" priority="3" operator="equal">
      <formula>"Pirelli"</formula>
    </cfRule>
    <cfRule type="cellIs" dxfId="242" priority="4" operator="equal">
      <formula>"Michelin"</formula>
    </cfRule>
    <cfRule type="cellIs" dxfId="241" priority="5" operator="equal">
      <formula>"Hankook"</formula>
    </cfRule>
  </conditionalFormatting>
  <conditionalFormatting sqref="E32:E41">
    <cfRule type="cellIs" dxfId="240" priority="26" operator="equal">
      <formula>"Firestone"</formula>
    </cfRule>
    <cfRule type="cellIs" dxfId="239" priority="27" operator="equal">
      <formula>"Michelin"</formula>
    </cfRule>
    <cfRule type="cellIs" dxfId="238" priority="28" operator="equal">
      <formula>"Pirelli"</formula>
    </cfRule>
    <cfRule type="cellIs" dxfId="237" priority="29" operator="equal">
      <formula>"Hankook"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7198-8271-4D4C-93FB-82B4187CF1D4}">
  <sheetPr codeName="Sheet3"/>
  <dimension ref="B1:M45"/>
  <sheetViews>
    <sheetView tabSelected="1" zoomScale="80" zoomScaleNormal="80" workbookViewId="0">
      <selection activeCell="M8" sqref="M8"/>
    </sheetView>
  </sheetViews>
  <sheetFormatPr defaultColWidth="8.88671875" defaultRowHeight="16.8" customHeight="1" x14ac:dyDescent="0.3"/>
  <cols>
    <col min="1" max="1" width="3.109375" style="4" customWidth="1"/>
    <col min="2" max="2" width="23.33203125" style="4" customWidth="1"/>
    <col min="3" max="3" width="8.88671875" style="4" customWidth="1"/>
    <col min="4" max="4" width="27.77734375" style="4" customWidth="1"/>
    <col min="5" max="7" width="11.109375" style="4" customWidth="1"/>
    <col min="8" max="8" width="3.109375" style="4" customWidth="1"/>
    <col min="9" max="9" width="3.109375" style="4" hidden="1" customWidth="1"/>
    <col min="10" max="10" width="8.88671875" style="4"/>
    <col min="11" max="12" width="3.109375" style="4" customWidth="1"/>
    <col min="13" max="16384" width="8.88671875" style="4"/>
  </cols>
  <sheetData>
    <row r="1" spans="2:13" ht="16.8" customHeight="1" thickBot="1" x14ac:dyDescent="0.35"/>
    <row r="2" spans="2:13" ht="16.8" customHeight="1" thickBot="1" x14ac:dyDescent="0.35">
      <c r="B2" s="202" t="s">
        <v>609</v>
      </c>
      <c r="C2" s="202"/>
      <c r="D2" s="202"/>
      <c r="E2" s="202"/>
      <c r="F2" s="202"/>
      <c r="G2" s="202"/>
    </row>
    <row r="3" spans="2:13" ht="16.8" customHeight="1" thickBot="1" x14ac:dyDescent="0.35">
      <c r="B3" s="192" t="s">
        <v>384</v>
      </c>
      <c r="C3" s="192"/>
      <c r="D3" s="192"/>
      <c r="E3" s="192"/>
      <c r="F3" s="192"/>
      <c r="G3" s="192"/>
    </row>
    <row r="4" spans="2:13" ht="16.8" customHeight="1" thickBot="1" x14ac:dyDescent="0.35">
      <c r="B4" s="7" t="s">
        <v>43</v>
      </c>
      <c r="C4" s="7" t="s">
        <v>44</v>
      </c>
      <c r="D4" s="7" t="s">
        <v>0</v>
      </c>
      <c r="E4" s="7" t="s">
        <v>422</v>
      </c>
      <c r="F4" s="7" t="s">
        <v>2</v>
      </c>
      <c r="G4" s="7" t="s">
        <v>3</v>
      </c>
    </row>
    <row r="5" spans="2:13" ht="16.8" customHeight="1" x14ac:dyDescent="0.3">
      <c r="B5" s="10" t="s">
        <v>513</v>
      </c>
      <c r="C5" s="132" t="s">
        <v>62</v>
      </c>
      <c r="D5" s="213" t="str">
        <f>IF(Start!B8 &lt;&gt; "", Start!B8, "")</f>
        <v>Blue Flag Racing</v>
      </c>
      <c r="E5" s="186" t="str">
        <f>IF(Start!C8 &lt;&gt; "", Start!C8, "")</f>
        <v>Reynard</v>
      </c>
      <c r="F5" s="186" t="str">
        <f>IF(Start!D8 &lt;&gt; "", Start!D8, "")</f>
        <v>Honda</v>
      </c>
      <c r="G5" s="186" t="str">
        <f>IF(Start!E8 &lt;&gt; "", Start!E8, "")</f>
        <v>Firestone</v>
      </c>
      <c r="J5" s="4" t="s">
        <v>62</v>
      </c>
      <c r="M5" s="4" t="s">
        <v>62</v>
      </c>
    </row>
    <row r="6" spans="2:13" ht="16.8" customHeight="1" x14ac:dyDescent="0.3">
      <c r="B6" s="11" t="s">
        <v>200</v>
      </c>
      <c r="C6" s="131" t="s">
        <v>77</v>
      </c>
      <c r="D6" s="214"/>
      <c r="E6" s="187"/>
      <c r="F6" s="187"/>
      <c r="G6" s="187"/>
      <c r="J6" s="4" t="s">
        <v>77</v>
      </c>
    </row>
    <row r="7" spans="2:13" ht="16.8" customHeight="1" x14ac:dyDescent="0.3">
      <c r="B7" s="11" t="s">
        <v>204</v>
      </c>
      <c r="C7" s="131" t="s">
        <v>633</v>
      </c>
      <c r="D7" s="214"/>
      <c r="E7" s="187"/>
      <c r="F7" s="187"/>
      <c r="G7" s="187"/>
      <c r="J7" s="4" t="s">
        <v>633</v>
      </c>
    </row>
    <row r="8" spans="2:13" ht="16.8" customHeight="1" thickBot="1" x14ac:dyDescent="0.35">
      <c r="B8" s="12" t="s">
        <v>190</v>
      </c>
      <c r="C8" s="133" t="s">
        <v>340</v>
      </c>
      <c r="D8" s="215"/>
      <c r="E8" s="188"/>
      <c r="F8" s="188"/>
      <c r="G8" s="188"/>
      <c r="J8" s="4" t="s">
        <v>340</v>
      </c>
    </row>
    <row r="9" spans="2:13" ht="16.8" customHeight="1" x14ac:dyDescent="0.3">
      <c r="B9" s="10" t="s">
        <v>291</v>
      </c>
      <c r="C9" s="96" t="s">
        <v>75</v>
      </c>
      <c r="D9" s="216" t="str">
        <f>IF(Start!B11 &lt;&gt; "", Start!B11, "")</f>
        <v>Team Stellar</v>
      </c>
      <c r="E9" s="186" t="str">
        <f>IF(Start!C11 &lt;&gt; "", Start!C11, "")</f>
        <v>March</v>
      </c>
      <c r="F9" s="186" t="str">
        <f>IF(Start!D11 &lt;&gt; "", Start!D11, "")</f>
        <v>Honda</v>
      </c>
      <c r="G9" s="186" t="str">
        <f>IF(Start!E11 &lt;&gt; "", Start!E11, "")</f>
        <v>Firestone</v>
      </c>
      <c r="J9" s="4" t="s">
        <v>75</v>
      </c>
    </row>
    <row r="10" spans="2:13" ht="16.8" customHeight="1" x14ac:dyDescent="0.3">
      <c r="B10" s="11" t="s">
        <v>289</v>
      </c>
      <c r="C10" s="41" t="s">
        <v>71</v>
      </c>
      <c r="D10" s="217"/>
      <c r="E10" s="187"/>
      <c r="F10" s="187"/>
      <c r="G10" s="187"/>
      <c r="J10" s="4" t="s">
        <v>71</v>
      </c>
    </row>
    <row r="11" spans="2:13" ht="16.8" customHeight="1" x14ac:dyDescent="0.3">
      <c r="B11" s="11" t="s">
        <v>288</v>
      </c>
      <c r="C11" s="41" t="s">
        <v>79</v>
      </c>
      <c r="D11" s="217"/>
      <c r="E11" s="187"/>
      <c r="F11" s="187"/>
      <c r="G11" s="187"/>
      <c r="J11" s="4" t="s">
        <v>79</v>
      </c>
    </row>
    <row r="12" spans="2:13" ht="16.8" customHeight="1" thickBot="1" x14ac:dyDescent="0.35">
      <c r="B12" s="12" t="s">
        <v>286</v>
      </c>
      <c r="C12" s="97" t="s">
        <v>340</v>
      </c>
      <c r="D12" s="218"/>
      <c r="E12" s="188"/>
      <c r="F12" s="188"/>
      <c r="G12" s="188"/>
      <c r="J12" s="4" t="s">
        <v>340</v>
      </c>
    </row>
    <row r="13" spans="2:13" ht="16.8" customHeight="1" x14ac:dyDescent="0.3">
      <c r="B13" s="10" t="s">
        <v>207</v>
      </c>
      <c r="C13" s="161" t="s">
        <v>432</v>
      </c>
      <c r="D13" s="189" t="str">
        <f>IF(Start!B14 &lt;&gt; "", Start!B14, "")</f>
        <v>APR GP Racing</v>
      </c>
      <c r="E13" s="186" t="str">
        <f>IF(Start!C14 &lt;&gt; "", Start!C14, "")</f>
        <v>Tatuus</v>
      </c>
      <c r="F13" s="186" t="str">
        <f>IF(Start!D14 &lt;&gt; "", Start!D14, "")</f>
        <v>Toyota</v>
      </c>
      <c r="G13" s="186" t="str">
        <f>IF(Start!E14 &lt;&gt; "", Start!E14, "")</f>
        <v>Firestone</v>
      </c>
      <c r="J13" s="4" t="s">
        <v>432</v>
      </c>
    </row>
    <row r="14" spans="2:13" ht="16.8" customHeight="1" x14ac:dyDescent="0.3">
      <c r="B14" s="11" t="s">
        <v>285</v>
      </c>
      <c r="C14" s="162" t="s">
        <v>323</v>
      </c>
      <c r="D14" s="190"/>
      <c r="E14" s="187"/>
      <c r="F14" s="187"/>
      <c r="G14" s="187"/>
      <c r="J14" s="4" t="s">
        <v>323</v>
      </c>
    </row>
    <row r="15" spans="2:13" ht="16.8" customHeight="1" x14ac:dyDescent="0.3">
      <c r="B15" s="11" t="s">
        <v>262</v>
      </c>
      <c r="C15" s="162" t="s">
        <v>431</v>
      </c>
      <c r="D15" s="190"/>
      <c r="E15" s="187"/>
      <c r="F15" s="187"/>
      <c r="G15" s="187"/>
      <c r="J15" s="4" t="s">
        <v>431</v>
      </c>
    </row>
    <row r="16" spans="2:13" ht="16.8" customHeight="1" thickBot="1" x14ac:dyDescent="0.35">
      <c r="B16" s="12" t="s">
        <v>557</v>
      </c>
      <c r="C16" s="160" t="s">
        <v>340</v>
      </c>
      <c r="D16" s="191"/>
      <c r="E16" s="188"/>
      <c r="F16" s="188"/>
      <c r="G16" s="188"/>
      <c r="J16" s="4" t="s">
        <v>340</v>
      </c>
    </row>
    <row r="17" spans="2:10" ht="16.8" customHeight="1" x14ac:dyDescent="0.3">
      <c r="B17" s="10" t="s">
        <v>188</v>
      </c>
      <c r="C17" s="92" t="s">
        <v>81</v>
      </c>
      <c r="D17" s="203" t="str">
        <f>IF(Start!B7 &lt;&gt; "", Start!B7, "")</f>
        <v>Super Corby Racing</v>
      </c>
      <c r="E17" s="186" t="str">
        <f>IF(Start!C7 &lt;&gt; "", Start!C7, "")</f>
        <v>Tatuus</v>
      </c>
      <c r="F17" s="186" t="str">
        <f>IF(Start!D7 &lt;&gt; "", Start!D7, "")</f>
        <v>Porsche</v>
      </c>
      <c r="G17" s="186" t="str">
        <f>IF(Start!E7 &lt;&gt; "", Start!E7, "")</f>
        <v>Michelin</v>
      </c>
      <c r="J17" s="4" t="s">
        <v>81</v>
      </c>
    </row>
    <row r="18" spans="2:10" ht="16.8" customHeight="1" x14ac:dyDescent="0.3">
      <c r="B18" s="11" t="s">
        <v>225</v>
      </c>
      <c r="C18" s="37" t="s">
        <v>63</v>
      </c>
      <c r="D18" s="204"/>
      <c r="E18" s="187"/>
      <c r="F18" s="187"/>
      <c r="G18" s="187"/>
      <c r="J18" s="4" t="s">
        <v>63</v>
      </c>
    </row>
    <row r="19" spans="2:10" ht="16.8" customHeight="1" x14ac:dyDescent="0.3">
      <c r="B19" s="11" t="s">
        <v>189</v>
      </c>
      <c r="C19" s="37" t="s">
        <v>322</v>
      </c>
      <c r="D19" s="204"/>
      <c r="E19" s="187"/>
      <c r="F19" s="187"/>
      <c r="G19" s="187"/>
      <c r="J19" s="4" t="s">
        <v>322</v>
      </c>
    </row>
    <row r="20" spans="2:10" ht="16.8" customHeight="1" x14ac:dyDescent="0.3">
      <c r="B20" s="84" t="s">
        <v>230</v>
      </c>
      <c r="C20" s="148" t="s">
        <v>82</v>
      </c>
      <c r="D20" s="204"/>
      <c r="E20" s="187"/>
      <c r="F20" s="187"/>
      <c r="G20" s="187"/>
      <c r="J20" s="4" t="s">
        <v>82</v>
      </c>
    </row>
    <row r="21" spans="2:10" ht="16.8" customHeight="1" thickBot="1" x14ac:dyDescent="0.35">
      <c r="B21" s="12" t="s">
        <v>209</v>
      </c>
      <c r="C21" s="93" t="s">
        <v>340</v>
      </c>
      <c r="D21" s="205"/>
      <c r="E21" s="188"/>
      <c r="F21" s="188"/>
      <c r="G21" s="188"/>
      <c r="J21" s="4" t="s">
        <v>340</v>
      </c>
    </row>
    <row r="22" spans="2:10" ht="16.8" customHeight="1" thickBot="1" x14ac:dyDescent="0.35">
      <c r="B22" s="10" t="s">
        <v>232</v>
      </c>
      <c r="C22" s="89" t="s">
        <v>66</v>
      </c>
      <c r="D22" s="206" t="str">
        <f>IF(Start!B5 &lt;&gt; "", Start!B5, "")</f>
        <v>Bruh Racing</v>
      </c>
      <c r="E22" s="192" t="str">
        <f>IF(Start!C5 &lt;&gt; "", Start!C5, "")</f>
        <v>Lola</v>
      </c>
      <c r="F22" s="192" t="str">
        <f>IF(Start!D5 &lt;&gt; "", Start!D5, "")</f>
        <v>Chevrolet</v>
      </c>
      <c r="G22" s="192" t="str">
        <f>IF(Start!E5 &lt;&gt; "", Start!E5, "")</f>
        <v>Pirelli</v>
      </c>
      <c r="J22" s="4" t="s">
        <v>66</v>
      </c>
    </row>
    <row r="23" spans="2:10" ht="16.8" customHeight="1" thickBot="1" x14ac:dyDescent="0.35">
      <c r="B23" s="11" t="s">
        <v>236</v>
      </c>
      <c r="C23" s="35" t="s">
        <v>65</v>
      </c>
      <c r="D23" s="206"/>
      <c r="E23" s="192"/>
      <c r="F23" s="192"/>
      <c r="G23" s="192"/>
      <c r="J23" s="4" t="s">
        <v>65</v>
      </c>
    </row>
    <row r="24" spans="2:10" ht="16.8" customHeight="1" thickBot="1" x14ac:dyDescent="0.35">
      <c r="B24" s="11" t="s">
        <v>215</v>
      </c>
      <c r="C24" s="35" t="s">
        <v>67</v>
      </c>
      <c r="D24" s="206"/>
      <c r="E24" s="192"/>
      <c r="F24" s="192"/>
      <c r="G24" s="192"/>
      <c r="J24" s="4" t="s">
        <v>67</v>
      </c>
    </row>
    <row r="25" spans="2:10" ht="16.8" customHeight="1" thickBot="1" x14ac:dyDescent="0.35">
      <c r="B25" s="12" t="s">
        <v>201</v>
      </c>
      <c r="C25" s="90" t="s">
        <v>340</v>
      </c>
      <c r="D25" s="206"/>
      <c r="E25" s="192"/>
      <c r="F25" s="192"/>
      <c r="G25" s="192"/>
      <c r="J25" s="4" t="s">
        <v>340</v>
      </c>
    </row>
    <row r="26" spans="2:10" ht="16.8" customHeight="1" x14ac:dyDescent="0.3">
      <c r="B26" s="10" t="s">
        <v>227</v>
      </c>
      <c r="C26" s="258" t="s">
        <v>680</v>
      </c>
      <c r="D26" s="199" t="str">
        <f>IF(Start!B6 &lt;&gt; "", Start!B6, "")</f>
        <v>Tactically Perfect Racing</v>
      </c>
      <c r="E26" s="186" t="str">
        <f>IF(Start!C6 &lt;&gt; "", Start!C6, "")</f>
        <v>Tatuus</v>
      </c>
      <c r="F26" s="186" t="str">
        <f>IF(Start!D6 &lt;&gt; "", Start!D6, "")</f>
        <v>Porsche</v>
      </c>
      <c r="G26" s="186" t="str">
        <f>IF(Start!E6 &lt;&gt; "", Start!E6, "")</f>
        <v>Michelin</v>
      </c>
      <c r="J26" s="4" t="s">
        <v>680</v>
      </c>
    </row>
    <row r="27" spans="2:10" ht="16.8" customHeight="1" x14ac:dyDescent="0.3">
      <c r="B27" s="11" t="s">
        <v>328</v>
      </c>
      <c r="C27" s="66" t="s">
        <v>679</v>
      </c>
      <c r="D27" s="200"/>
      <c r="E27" s="187"/>
      <c r="F27" s="187"/>
      <c r="G27" s="187"/>
      <c r="J27" s="4" t="s">
        <v>679</v>
      </c>
    </row>
    <row r="28" spans="2:10" ht="16.8" customHeight="1" x14ac:dyDescent="0.3">
      <c r="B28" s="11" t="s">
        <v>297</v>
      </c>
      <c r="C28" s="65" t="s">
        <v>681</v>
      </c>
      <c r="D28" s="200"/>
      <c r="E28" s="187"/>
      <c r="F28" s="187"/>
      <c r="G28" s="187"/>
      <c r="J28" s="4" t="s">
        <v>681</v>
      </c>
    </row>
    <row r="29" spans="2:10" ht="16.8" customHeight="1" thickBot="1" x14ac:dyDescent="0.35">
      <c r="B29" s="12" t="s">
        <v>434</v>
      </c>
      <c r="C29" s="91" t="s">
        <v>340</v>
      </c>
      <c r="D29" s="201"/>
      <c r="E29" s="188"/>
      <c r="F29" s="188"/>
      <c r="G29" s="188"/>
      <c r="J29" s="4" t="s">
        <v>340</v>
      </c>
    </row>
    <row r="30" spans="2:10" ht="16.8" customHeight="1" x14ac:dyDescent="0.3">
      <c r="B30" s="10" t="s">
        <v>193</v>
      </c>
      <c r="C30" s="140" t="s">
        <v>674</v>
      </c>
      <c r="D30" s="196" t="str">
        <f>IF(Start!B9 &lt;&gt; "", Start!B9, "")</f>
        <v>98-99 Racing</v>
      </c>
      <c r="E30" s="186" t="str">
        <f>IF(Start!C9 &lt;&gt; "", Start!C9, "")</f>
        <v>March</v>
      </c>
      <c r="F30" s="210" t="str">
        <f>IF(Start!D9 &lt;&gt; "", Start!D9, "")</f>
        <v>Porsche</v>
      </c>
      <c r="G30" s="210" t="str">
        <f>IF(Start!E9 &lt;&gt; "", Start!E9, "")</f>
        <v>Pirelli</v>
      </c>
      <c r="J30" s="4" t="s">
        <v>674</v>
      </c>
    </row>
    <row r="31" spans="2:10" ht="16.8" customHeight="1" x14ac:dyDescent="0.3">
      <c r="B31" s="11" t="s">
        <v>563</v>
      </c>
      <c r="C31" s="139" t="s">
        <v>675</v>
      </c>
      <c r="D31" s="197"/>
      <c r="E31" s="187"/>
      <c r="F31" s="211"/>
      <c r="G31" s="211"/>
      <c r="J31" s="4" t="s">
        <v>675</v>
      </c>
    </row>
    <row r="32" spans="2:10" ht="16.8" customHeight="1" x14ac:dyDescent="0.3">
      <c r="B32" s="11" t="s">
        <v>233</v>
      </c>
      <c r="C32" s="139" t="s">
        <v>676</v>
      </c>
      <c r="D32" s="197"/>
      <c r="E32" s="187"/>
      <c r="F32" s="211"/>
      <c r="G32" s="211"/>
      <c r="J32" s="4" t="s">
        <v>676</v>
      </c>
    </row>
    <row r="33" spans="2:10" ht="16.8" customHeight="1" thickBot="1" x14ac:dyDescent="0.35">
      <c r="B33" s="12" t="s">
        <v>559</v>
      </c>
      <c r="C33" s="141" t="s">
        <v>340</v>
      </c>
      <c r="D33" s="198"/>
      <c r="E33" s="188"/>
      <c r="F33" s="212"/>
      <c r="G33" s="212"/>
      <c r="J33" s="4" t="s">
        <v>340</v>
      </c>
    </row>
    <row r="34" spans="2:10" ht="16.8" customHeight="1" x14ac:dyDescent="0.3">
      <c r="B34" s="10" t="s">
        <v>228</v>
      </c>
      <c r="C34" s="94" t="s">
        <v>70</v>
      </c>
      <c r="D34" s="193" t="str">
        <f>IF(Start!B13 &lt;&gt; "", Start!B13, "")</f>
        <v>Centurion Engineering</v>
      </c>
      <c r="E34" s="186" t="str">
        <f>IF(Start!C13 &lt;&gt; "", Start!C13, "")</f>
        <v>Lola</v>
      </c>
      <c r="F34" s="186" t="str">
        <f>IF(Start!D13 &lt;&gt; "", Start!D13, "")</f>
        <v>Porsche</v>
      </c>
      <c r="G34" s="186" t="str">
        <f>IF(Start!E13 &lt;&gt; "", Start!E13, "")</f>
        <v>Michelin</v>
      </c>
      <c r="J34" s="4" t="s">
        <v>70</v>
      </c>
    </row>
    <row r="35" spans="2:10" ht="16.8" customHeight="1" x14ac:dyDescent="0.3">
      <c r="B35" s="11" t="s">
        <v>235</v>
      </c>
      <c r="C35" s="43" t="s">
        <v>68</v>
      </c>
      <c r="D35" s="194"/>
      <c r="E35" s="187"/>
      <c r="F35" s="187"/>
      <c r="G35" s="187"/>
      <c r="J35" s="4" t="s">
        <v>68</v>
      </c>
    </row>
    <row r="36" spans="2:10" ht="16.8" customHeight="1" x14ac:dyDescent="0.3">
      <c r="B36" s="11" t="s">
        <v>290</v>
      </c>
      <c r="C36" s="43" t="s">
        <v>69</v>
      </c>
      <c r="D36" s="194"/>
      <c r="E36" s="187"/>
      <c r="F36" s="187"/>
      <c r="G36" s="187"/>
      <c r="J36" s="4" t="s">
        <v>69</v>
      </c>
    </row>
    <row r="37" spans="2:10" ht="16.8" customHeight="1" thickBot="1" x14ac:dyDescent="0.35">
      <c r="B37" s="12" t="s">
        <v>287</v>
      </c>
      <c r="C37" s="95" t="s">
        <v>340</v>
      </c>
      <c r="D37" s="195"/>
      <c r="E37" s="188"/>
      <c r="F37" s="188"/>
      <c r="G37" s="188"/>
      <c r="J37" s="4" t="s">
        <v>340</v>
      </c>
    </row>
    <row r="38" spans="2:10" ht="16.8" customHeight="1" x14ac:dyDescent="0.3">
      <c r="B38" s="10" t="s">
        <v>245</v>
      </c>
      <c r="C38" s="87" t="s">
        <v>682</v>
      </c>
      <c r="D38" s="255" t="str">
        <f>IF(Start!B10 &lt;&gt; "", Start!B10, "")</f>
        <v>Project D Racing</v>
      </c>
      <c r="E38" s="186" t="str">
        <f>IF(Start!C10 &lt;&gt; "", Start!C10, "")</f>
        <v>Reynard</v>
      </c>
      <c r="F38" s="186" t="str">
        <f>IF(Start!D10 &lt;&gt; "", Start!D10, "")</f>
        <v>Toyota</v>
      </c>
      <c r="G38" s="186" t="str">
        <f>IF(Start!E10 &lt;&gt; "", Start!E10, "")</f>
        <v>Michelin</v>
      </c>
      <c r="J38" s="4" t="s">
        <v>682</v>
      </c>
    </row>
    <row r="39" spans="2:10" ht="16.8" customHeight="1" x14ac:dyDescent="0.3">
      <c r="B39" s="11" t="s">
        <v>208</v>
      </c>
      <c r="C39" s="40" t="s">
        <v>684</v>
      </c>
      <c r="D39" s="256"/>
      <c r="E39" s="187"/>
      <c r="F39" s="187"/>
      <c r="G39" s="187"/>
      <c r="J39" s="4" t="s">
        <v>684</v>
      </c>
    </row>
    <row r="40" spans="2:10" ht="16.8" customHeight="1" x14ac:dyDescent="0.3">
      <c r="B40" s="11" t="s">
        <v>298</v>
      </c>
      <c r="C40" s="40" t="s">
        <v>683</v>
      </c>
      <c r="D40" s="256"/>
      <c r="E40" s="187"/>
      <c r="F40" s="187"/>
      <c r="G40" s="187"/>
      <c r="J40" s="4" t="s">
        <v>683</v>
      </c>
    </row>
    <row r="41" spans="2:10" ht="16.8" customHeight="1" thickBot="1" x14ac:dyDescent="0.35">
      <c r="B41" s="12" t="s">
        <v>243</v>
      </c>
      <c r="C41" s="88" t="s">
        <v>340</v>
      </c>
      <c r="D41" s="257"/>
      <c r="E41" s="188"/>
      <c r="F41" s="188"/>
      <c r="G41" s="188"/>
      <c r="J41" s="4" t="s">
        <v>340</v>
      </c>
    </row>
    <row r="42" spans="2:10" ht="16.8" customHeight="1" x14ac:dyDescent="0.3">
      <c r="B42" s="10" t="s">
        <v>184</v>
      </c>
      <c r="C42" s="99" t="s">
        <v>73</v>
      </c>
      <c r="D42" s="207" t="str">
        <f>IF(Start!B12 &lt;&gt; "", Start!B12, "")</f>
        <v>Sim Party Racing</v>
      </c>
      <c r="E42" s="186" t="str">
        <f>IF(Start!C12 &lt;&gt; "", Start!C12, "")</f>
        <v>Lola</v>
      </c>
      <c r="F42" s="186" t="str">
        <f>IF(Start!D12 &lt;&gt; "", Start!D12, "")</f>
        <v>Chevrolet</v>
      </c>
      <c r="G42" s="186" t="str">
        <f>IF(Start!E12 &lt;&gt; "", Start!E12, "")</f>
        <v>Michelin</v>
      </c>
      <c r="J42" s="4" t="s">
        <v>73</v>
      </c>
    </row>
    <row r="43" spans="2:10" ht="16.8" customHeight="1" x14ac:dyDescent="0.3">
      <c r="B43" s="11" t="s">
        <v>194</v>
      </c>
      <c r="C43" s="42" t="s">
        <v>80</v>
      </c>
      <c r="D43" s="208"/>
      <c r="E43" s="187"/>
      <c r="F43" s="187"/>
      <c r="G43" s="187"/>
      <c r="J43" s="4" t="s">
        <v>80</v>
      </c>
    </row>
    <row r="44" spans="2:10" ht="16.8" customHeight="1" x14ac:dyDescent="0.3">
      <c r="B44" s="11" t="s">
        <v>283</v>
      </c>
      <c r="C44" s="42" t="s">
        <v>678</v>
      </c>
      <c r="D44" s="208"/>
      <c r="E44" s="187"/>
      <c r="F44" s="187"/>
      <c r="G44" s="187"/>
      <c r="J44" s="4" t="s">
        <v>678</v>
      </c>
    </row>
    <row r="45" spans="2:10" ht="16.8" customHeight="1" thickBot="1" x14ac:dyDescent="0.35">
      <c r="B45" s="12" t="s">
        <v>187</v>
      </c>
      <c r="C45" s="100" t="s">
        <v>340</v>
      </c>
      <c r="D45" s="209"/>
      <c r="E45" s="188"/>
      <c r="F45" s="188"/>
      <c r="G45" s="188"/>
      <c r="J45" s="4" t="s">
        <v>340</v>
      </c>
    </row>
  </sheetData>
  <sortState xmlns:xlrd2="http://schemas.microsoft.com/office/spreadsheetml/2017/richdata2" ref="A5:C45">
    <sortCondition ref="A5:A45"/>
  </sortState>
  <mergeCells count="42">
    <mergeCell ref="G42:G45"/>
    <mergeCell ref="F42:F45"/>
    <mergeCell ref="E42:E45"/>
    <mergeCell ref="D42:D45"/>
    <mergeCell ref="D34:D37"/>
    <mergeCell ref="D22:D25"/>
    <mergeCell ref="E22:E25"/>
    <mergeCell ref="F22:F25"/>
    <mergeCell ref="G22:G25"/>
    <mergeCell ref="G13:G16"/>
    <mergeCell ref="F13:F16"/>
    <mergeCell ref="B2:G2"/>
    <mergeCell ref="B3:G3"/>
    <mergeCell ref="D17:D21"/>
    <mergeCell ref="E17:E21"/>
    <mergeCell ref="F17:F21"/>
    <mergeCell ref="G17:G21"/>
    <mergeCell ref="D5:D8"/>
    <mergeCell ref="E5:E8"/>
    <mergeCell ref="F5:F8"/>
    <mergeCell ref="G5:G8"/>
    <mergeCell ref="G9:G12"/>
    <mergeCell ref="F9:F12"/>
    <mergeCell ref="E9:E12"/>
    <mergeCell ref="D9:D12"/>
    <mergeCell ref="G26:G29"/>
    <mergeCell ref="G38:G41"/>
    <mergeCell ref="F38:F41"/>
    <mergeCell ref="E38:E41"/>
    <mergeCell ref="D38:D41"/>
    <mergeCell ref="E34:E37"/>
    <mergeCell ref="F34:F37"/>
    <mergeCell ref="G34:G37"/>
    <mergeCell ref="D26:D29"/>
    <mergeCell ref="E26:E29"/>
    <mergeCell ref="F26:F29"/>
    <mergeCell ref="G30:G33"/>
    <mergeCell ref="F30:F33"/>
    <mergeCell ref="E30:E33"/>
    <mergeCell ref="D30:D33"/>
    <mergeCell ref="E13:E16"/>
    <mergeCell ref="D13:D16"/>
  </mergeCells>
  <conditionalFormatting sqref="E34 E5 E38 E9 E13:E26 E30 E42">
    <cfRule type="cellIs" dxfId="236" priority="1" operator="equal">
      <formula>"Reynard"</formula>
    </cfRule>
    <cfRule type="cellIs" dxfId="235" priority="2" operator="equal">
      <formula>"Tatuus"</formula>
    </cfRule>
    <cfRule type="cellIs" dxfId="234" priority="3" operator="equal">
      <formula>"March"</formula>
    </cfRule>
    <cfRule type="cellIs" dxfId="233" priority="4" operator="equal">
      <formula>"Lola"</formula>
    </cfRule>
  </conditionalFormatting>
  <conditionalFormatting sqref="F34 F5 F38 F9 F13:F26 F30 F42">
    <cfRule type="cellIs" dxfId="232" priority="5" operator="equal">
      <formula>"Chevrolet"</formula>
    </cfRule>
    <cfRule type="cellIs" dxfId="231" priority="6" operator="equal">
      <formula>"Honda"</formula>
    </cfRule>
    <cfRule type="cellIs" dxfId="230" priority="7" operator="equal">
      <formula>"Porsche"</formula>
    </cfRule>
    <cfRule type="cellIs" dxfId="229" priority="8" operator="equal">
      <formula>"Toyota"</formula>
    </cfRule>
  </conditionalFormatting>
  <conditionalFormatting sqref="G34 G5 G38 G9 G13:G26 G30 G42">
    <cfRule type="cellIs" dxfId="228" priority="9" operator="equal">
      <formula>"Firestone"</formula>
    </cfRule>
    <cfRule type="cellIs" dxfId="227" priority="10" operator="equal">
      <formula>"Pirelli"</formula>
    </cfRule>
    <cfRule type="cellIs" dxfId="226" priority="11" operator="equal">
      <formula>"Michelin"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9CCC-D307-44CE-8739-A0C2F4ABEAC9}">
  <sheetPr codeName="Sheet4"/>
  <dimension ref="B1:X91"/>
  <sheetViews>
    <sheetView zoomScale="80" zoomScaleNormal="90" workbookViewId="0">
      <selection activeCell="I15" sqref="I15"/>
    </sheetView>
  </sheetViews>
  <sheetFormatPr defaultRowHeight="16.8" customHeight="1" x14ac:dyDescent="0.3"/>
  <cols>
    <col min="1" max="1" width="3.109375" style="4" customWidth="1"/>
    <col min="2" max="2" width="23.33203125" style="4" customWidth="1"/>
    <col min="3" max="5" width="15.5546875" style="4" customWidth="1"/>
    <col min="6" max="7" width="3.109375" style="4" customWidth="1"/>
    <col min="8" max="12" width="23.33203125" style="4" customWidth="1"/>
    <col min="13" max="14" width="3.109375" style="4" customWidth="1"/>
    <col min="15" max="15" width="23.33203125" style="4" customWidth="1"/>
    <col min="16" max="17" width="3.109375" style="4" customWidth="1"/>
    <col min="18" max="18" width="23.33203125" style="4" customWidth="1"/>
    <col min="19" max="20" width="3.109375" style="4" customWidth="1"/>
    <col min="21" max="21" width="23.33203125" style="4" customWidth="1"/>
    <col min="22" max="23" width="3.109375" style="4" customWidth="1"/>
    <col min="24" max="24" width="23.33203125" style="4" customWidth="1"/>
    <col min="25" max="25" width="3.109375" style="4" customWidth="1"/>
    <col min="26" max="16384" width="8.88671875" style="4"/>
  </cols>
  <sheetData>
    <row r="1" spans="2:24" ht="16.8" customHeight="1" thickBot="1" x14ac:dyDescent="0.35"/>
    <row r="2" spans="2:24" ht="16.8" customHeight="1" x14ac:dyDescent="0.3">
      <c r="B2" s="180" t="s">
        <v>158</v>
      </c>
      <c r="C2" s="181"/>
      <c r="D2" s="181"/>
      <c r="E2" s="182"/>
      <c r="H2" s="174" t="s">
        <v>436</v>
      </c>
      <c r="I2" s="181"/>
      <c r="J2" s="181"/>
      <c r="K2" s="181"/>
      <c r="L2" s="182"/>
    </row>
    <row r="3" spans="2:24" ht="16.8" customHeight="1" thickBot="1" x14ac:dyDescent="0.35">
      <c r="B3" s="171"/>
      <c r="C3" s="172"/>
      <c r="D3" s="172"/>
      <c r="E3" s="173"/>
      <c r="H3" s="171"/>
      <c r="I3" s="172"/>
      <c r="J3" s="172"/>
      <c r="K3" s="172"/>
      <c r="L3" s="173"/>
    </row>
    <row r="4" spans="2:24" ht="16.8" customHeight="1" thickBot="1" x14ac:dyDescent="0.35">
      <c r="B4" s="7" t="s">
        <v>43</v>
      </c>
      <c r="C4" s="7" t="s">
        <v>152</v>
      </c>
      <c r="D4" s="7" t="s">
        <v>153</v>
      </c>
      <c r="E4" s="7" t="s">
        <v>307</v>
      </c>
      <c r="H4" s="7" t="s">
        <v>618</v>
      </c>
      <c r="I4" s="51" t="s">
        <v>197</v>
      </c>
      <c r="J4" s="7" t="s">
        <v>337</v>
      </c>
      <c r="K4" s="7" t="s">
        <v>224</v>
      </c>
      <c r="L4" s="7" t="s">
        <v>338</v>
      </c>
      <c r="O4" s="7" t="s">
        <v>403</v>
      </c>
      <c r="R4" s="7" t="s">
        <v>403</v>
      </c>
      <c r="U4" s="7" t="s">
        <v>403</v>
      </c>
      <c r="X4" s="138" t="s">
        <v>403</v>
      </c>
    </row>
    <row r="5" spans="2:24" ht="16.8" customHeight="1" x14ac:dyDescent="0.3">
      <c r="B5" s="48" t="s">
        <v>180</v>
      </c>
      <c r="C5" s="143">
        <v>94</v>
      </c>
      <c r="D5" s="143">
        <v>3</v>
      </c>
      <c r="E5" s="143">
        <v>4</v>
      </c>
      <c r="H5" s="48" t="s">
        <v>180</v>
      </c>
      <c r="I5" s="103" t="s">
        <v>196</v>
      </c>
      <c r="J5" s="48" t="s">
        <v>213</v>
      </c>
      <c r="K5" s="106" t="s">
        <v>225</v>
      </c>
      <c r="L5" s="101" t="s">
        <v>283</v>
      </c>
      <c r="O5" s="108" t="s">
        <v>234</v>
      </c>
      <c r="R5" s="111" t="s">
        <v>284</v>
      </c>
      <c r="U5" s="87" t="s">
        <v>242</v>
      </c>
      <c r="X5" s="98" t="s">
        <v>181</v>
      </c>
    </row>
    <row r="6" spans="2:24" ht="16.8" customHeight="1" x14ac:dyDescent="0.3">
      <c r="B6" s="11" t="s">
        <v>556</v>
      </c>
      <c r="C6" s="144">
        <v>96</v>
      </c>
      <c r="D6" s="144">
        <v>2</v>
      </c>
      <c r="E6" s="144">
        <v>2</v>
      </c>
      <c r="H6" s="11" t="s">
        <v>556</v>
      </c>
      <c r="I6" s="104" t="s">
        <v>198</v>
      </c>
      <c r="J6" s="11" t="s">
        <v>212</v>
      </c>
      <c r="K6" s="11" t="s">
        <v>226</v>
      </c>
      <c r="L6" s="11" t="s">
        <v>252</v>
      </c>
      <c r="O6" s="74" t="s">
        <v>277</v>
      </c>
      <c r="R6" s="112" t="s">
        <v>229</v>
      </c>
      <c r="U6" s="40" t="s">
        <v>195</v>
      </c>
      <c r="X6" s="35" t="s">
        <v>299</v>
      </c>
    </row>
    <row r="7" spans="2:24" ht="16.8" customHeight="1" x14ac:dyDescent="0.3">
      <c r="B7" s="11" t="s">
        <v>184</v>
      </c>
      <c r="C7" s="144">
        <v>100</v>
      </c>
      <c r="D7" s="144">
        <v>1</v>
      </c>
      <c r="E7" s="144">
        <v>1</v>
      </c>
      <c r="H7" s="101" t="s">
        <v>184</v>
      </c>
      <c r="I7" s="104" t="s">
        <v>199</v>
      </c>
      <c r="J7" s="11" t="s">
        <v>214</v>
      </c>
      <c r="K7" s="101" t="s">
        <v>227</v>
      </c>
      <c r="L7" s="11" t="s">
        <v>253</v>
      </c>
      <c r="O7" s="39" t="s">
        <v>185</v>
      </c>
      <c r="R7" s="109" t="s">
        <v>267</v>
      </c>
      <c r="U7" s="35" t="s">
        <v>301</v>
      </c>
      <c r="X7" s="35" t="s">
        <v>276</v>
      </c>
    </row>
    <row r="8" spans="2:24" ht="16.8" customHeight="1" x14ac:dyDescent="0.3">
      <c r="B8" s="11" t="s">
        <v>187</v>
      </c>
      <c r="C8" s="144">
        <v>100</v>
      </c>
      <c r="D8" s="144">
        <v>1</v>
      </c>
      <c r="E8" s="144">
        <v>1</v>
      </c>
      <c r="H8" s="101" t="s">
        <v>187</v>
      </c>
      <c r="I8" s="107" t="s">
        <v>200</v>
      </c>
      <c r="J8" s="101" t="s">
        <v>215</v>
      </c>
      <c r="K8" s="101" t="s">
        <v>228</v>
      </c>
      <c r="L8" s="11" t="s">
        <v>254</v>
      </c>
      <c r="O8" s="109" t="s">
        <v>251</v>
      </c>
      <c r="R8" s="109" t="s">
        <v>263</v>
      </c>
      <c r="U8" s="11" t="s">
        <v>183</v>
      </c>
      <c r="X8" s="40" t="s">
        <v>192</v>
      </c>
    </row>
    <row r="9" spans="2:24" ht="16.8" customHeight="1" x14ac:dyDescent="0.3">
      <c r="B9" s="11" t="s">
        <v>188</v>
      </c>
      <c r="C9" s="144">
        <v>100</v>
      </c>
      <c r="D9" s="144">
        <v>1</v>
      </c>
      <c r="E9" s="144">
        <v>1</v>
      </c>
      <c r="H9" s="101" t="s">
        <v>188</v>
      </c>
      <c r="I9" s="107" t="s">
        <v>201</v>
      </c>
      <c r="J9" s="11" t="s">
        <v>216</v>
      </c>
      <c r="K9" s="101" t="s">
        <v>230</v>
      </c>
      <c r="L9" s="11" t="s">
        <v>255</v>
      </c>
      <c r="O9" s="35" t="s">
        <v>280</v>
      </c>
      <c r="R9" s="40" t="s">
        <v>278</v>
      </c>
      <c r="U9" s="11" t="s">
        <v>268</v>
      </c>
      <c r="X9" s="40" t="s">
        <v>274</v>
      </c>
    </row>
    <row r="10" spans="2:24" ht="16.8" customHeight="1" thickBot="1" x14ac:dyDescent="0.35">
      <c r="B10" s="11" t="s">
        <v>189</v>
      </c>
      <c r="C10" s="144">
        <v>100</v>
      </c>
      <c r="D10" s="144">
        <v>1</v>
      </c>
      <c r="E10" s="144">
        <v>1</v>
      </c>
      <c r="H10" s="101" t="s">
        <v>189</v>
      </c>
      <c r="I10" s="104" t="s">
        <v>202</v>
      </c>
      <c r="J10" s="11" t="s">
        <v>217</v>
      </c>
      <c r="K10" s="11" t="s">
        <v>231</v>
      </c>
      <c r="L10" s="11" t="s">
        <v>256</v>
      </c>
      <c r="O10" s="42" t="s">
        <v>281</v>
      </c>
      <c r="R10" s="40" t="s">
        <v>249</v>
      </c>
      <c r="U10" s="12" t="s">
        <v>269</v>
      </c>
      <c r="X10" s="65" t="s">
        <v>257</v>
      </c>
    </row>
    <row r="11" spans="2:24" ht="16.8" customHeight="1" x14ac:dyDescent="0.3">
      <c r="B11" s="11" t="s">
        <v>513</v>
      </c>
      <c r="C11" s="144">
        <v>100</v>
      </c>
      <c r="D11" s="144">
        <v>2</v>
      </c>
      <c r="E11" s="144">
        <v>1</v>
      </c>
      <c r="H11" s="101" t="s">
        <v>513</v>
      </c>
      <c r="I11" s="104" t="s">
        <v>203</v>
      </c>
      <c r="J11" s="11" t="s">
        <v>219</v>
      </c>
      <c r="K11" s="101" t="s">
        <v>232</v>
      </c>
      <c r="L11" s="101" t="s">
        <v>287</v>
      </c>
      <c r="O11" s="42" t="s">
        <v>303</v>
      </c>
      <c r="R11" s="78" t="s">
        <v>250</v>
      </c>
      <c r="X11" s="36" t="s">
        <v>259</v>
      </c>
    </row>
    <row r="12" spans="2:24" ht="16.8" customHeight="1" x14ac:dyDescent="0.3">
      <c r="B12" s="11" t="s">
        <v>328</v>
      </c>
      <c r="C12" s="144">
        <v>100</v>
      </c>
      <c r="D12" s="144">
        <v>1</v>
      </c>
      <c r="E12" s="144">
        <v>1</v>
      </c>
      <c r="H12" s="101" t="s">
        <v>328</v>
      </c>
      <c r="I12" s="107" t="s">
        <v>204</v>
      </c>
      <c r="J12" s="11" t="s">
        <v>218</v>
      </c>
      <c r="K12" s="101" t="s">
        <v>233</v>
      </c>
      <c r="L12" s="101" t="s">
        <v>290</v>
      </c>
      <c r="O12" s="110" t="s">
        <v>182</v>
      </c>
      <c r="R12" s="11" t="s">
        <v>238</v>
      </c>
      <c r="X12" s="11" t="s">
        <v>186</v>
      </c>
    </row>
    <row r="13" spans="2:24" ht="16.8" customHeight="1" x14ac:dyDescent="0.3">
      <c r="B13" s="11" t="s">
        <v>190</v>
      </c>
      <c r="C13" s="144">
        <v>99</v>
      </c>
      <c r="D13" s="144">
        <v>1</v>
      </c>
      <c r="E13" s="144">
        <v>3</v>
      </c>
      <c r="H13" s="101" t="s">
        <v>190</v>
      </c>
      <c r="I13" s="104" t="s">
        <v>205</v>
      </c>
      <c r="J13" s="11" t="s">
        <v>220</v>
      </c>
      <c r="K13" s="101" t="s">
        <v>235</v>
      </c>
      <c r="L13" s="101" t="s">
        <v>291</v>
      </c>
      <c r="O13" s="11" t="s">
        <v>246</v>
      </c>
      <c r="R13" s="11" t="s">
        <v>258</v>
      </c>
      <c r="X13" s="11" t="s">
        <v>271</v>
      </c>
    </row>
    <row r="14" spans="2:24" ht="16.8" customHeight="1" x14ac:dyDescent="0.3">
      <c r="B14" s="11" t="s">
        <v>191</v>
      </c>
      <c r="C14" s="144">
        <v>97</v>
      </c>
      <c r="D14" s="144">
        <v>2</v>
      </c>
      <c r="E14" s="144">
        <v>3</v>
      </c>
      <c r="H14" s="11" t="s">
        <v>191</v>
      </c>
      <c r="I14" s="104" t="s">
        <v>206</v>
      </c>
      <c r="J14" s="11" t="s">
        <v>221</v>
      </c>
      <c r="K14" s="101" t="s">
        <v>236</v>
      </c>
      <c r="L14" s="101" t="s">
        <v>297</v>
      </c>
      <c r="O14" s="11" t="s">
        <v>292</v>
      </c>
      <c r="R14" s="11" t="s">
        <v>264</v>
      </c>
      <c r="X14" s="11" t="s">
        <v>272</v>
      </c>
    </row>
    <row r="15" spans="2:24" ht="16.8" customHeight="1" x14ac:dyDescent="0.3">
      <c r="B15" s="11" t="s">
        <v>193</v>
      </c>
      <c r="C15" s="144">
        <v>100</v>
      </c>
      <c r="D15" s="144">
        <v>1</v>
      </c>
      <c r="E15" s="144">
        <v>2</v>
      </c>
      <c r="H15" s="101" t="s">
        <v>193</v>
      </c>
      <c r="I15" s="107" t="s">
        <v>207</v>
      </c>
      <c r="J15" s="11" t="s">
        <v>222</v>
      </c>
      <c r="K15" s="11" t="s">
        <v>237</v>
      </c>
      <c r="L15" s="107" t="s">
        <v>298</v>
      </c>
      <c r="O15" s="11" t="s">
        <v>293</v>
      </c>
      <c r="R15" s="11" t="s">
        <v>282</v>
      </c>
      <c r="X15" s="11" t="s">
        <v>273</v>
      </c>
    </row>
    <row r="16" spans="2:24" ht="16.8" customHeight="1" x14ac:dyDescent="0.3">
      <c r="B16" s="11" t="s">
        <v>434</v>
      </c>
      <c r="C16" s="144">
        <v>98</v>
      </c>
      <c r="D16" s="144">
        <v>1</v>
      </c>
      <c r="E16" s="144">
        <v>4</v>
      </c>
      <c r="H16" s="101" t="s">
        <v>434</v>
      </c>
      <c r="I16" s="107" t="s">
        <v>208</v>
      </c>
      <c r="J16" s="11" t="s">
        <v>223</v>
      </c>
      <c r="K16" s="11" t="s">
        <v>239</v>
      </c>
      <c r="L16" s="101" t="s">
        <v>559</v>
      </c>
      <c r="O16" s="11" t="s">
        <v>294</v>
      </c>
      <c r="R16" s="11" t="s">
        <v>300</v>
      </c>
      <c r="X16" s="11" t="s">
        <v>275</v>
      </c>
    </row>
    <row r="17" spans="2:24" ht="16.8" customHeight="1" thickBot="1" x14ac:dyDescent="0.35">
      <c r="B17" s="11" t="s">
        <v>194</v>
      </c>
      <c r="C17" s="144">
        <v>98</v>
      </c>
      <c r="D17" s="144">
        <v>1</v>
      </c>
      <c r="E17" s="144">
        <v>2</v>
      </c>
      <c r="H17" s="101" t="s">
        <v>194</v>
      </c>
      <c r="I17" s="107" t="s">
        <v>209</v>
      </c>
      <c r="J17" s="101" t="s">
        <v>557</v>
      </c>
      <c r="K17" s="11" t="s">
        <v>241</v>
      </c>
      <c r="L17" s="11" t="s">
        <v>560</v>
      </c>
      <c r="O17" s="11" t="s">
        <v>295</v>
      </c>
      <c r="R17" s="12" t="s">
        <v>240</v>
      </c>
      <c r="X17" s="12" t="s">
        <v>279</v>
      </c>
    </row>
    <row r="18" spans="2:24" ht="16.8" customHeight="1" x14ac:dyDescent="0.3">
      <c r="B18" s="11" t="s">
        <v>196</v>
      </c>
      <c r="C18" s="144">
        <v>96</v>
      </c>
      <c r="D18" s="144">
        <v>1</v>
      </c>
      <c r="E18" s="144">
        <v>2</v>
      </c>
      <c r="H18" s="11" t="s">
        <v>260</v>
      </c>
      <c r="I18" s="104" t="s">
        <v>210</v>
      </c>
      <c r="J18" s="11" t="s">
        <v>558</v>
      </c>
      <c r="K18" s="101" t="s">
        <v>243</v>
      </c>
      <c r="L18" s="11" t="s">
        <v>561</v>
      </c>
      <c r="O18" s="11" t="s">
        <v>296</v>
      </c>
    </row>
    <row r="19" spans="2:24" ht="16.8" customHeight="1" thickBot="1" x14ac:dyDescent="0.35">
      <c r="B19" s="11" t="s">
        <v>198</v>
      </c>
      <c r="C19" s="144">
        <v>94</v>
      </c>
      <c r="D19" s="144">
        <v>2</v>
      </c>
      <c r="E19" s="144">
        <v>3</v>
      </c>
      <c r="H19" s="11" t="s">
        <v>261</v>
      </c>
      <c r="I19" s="105" t="s">
        <v>211</v>
      </c>
      <c r="J19" s="101" t="s">
        <v>285</v>
      </c>
      <c r="K19" s="11" t="s">
        <v>244</v>
      </c>
      <c r="L19" s="11" t="s">
        <v>562</v>
      </c>
      <c r="O19" s="12" t="s">
        <v>302</v>
      </c>
    </row>
    <row r="20" spans="2:24" ht="16.8" customHeight="1" x14ac:dyDescent="0.3">
      <c r="B20" s="11" t="s">
        <v>199</v>
      </c>
      <c r="C20" s="144">
        <v>93</v>
      </c>
      <c r="D20" s="144">
        <v>2</v>
      </c>
      <c r="E20" s="144">
        <v>3</v>
      </c>
      <c r="H20" s="101" t="s">
        <v>262</v>
      </c>
      <c r="J20" s="101" t="s">
        <v>286</v>
      </c>
      <c r="K20" s="101" t="s">
        <v>245</v>
      </c>
      <c r="L20" s="101" t="s">
        <v>563</v>
      </c>
    </row>
    <row r="21" spans="2:24" ht="16.8" customHeight="1" thickBot="1" x14ac:dyDescent="0.35">
      <c r="B21" s="11" t="s">
        <v>200</v>
      </c>
      <c r="C21" s="144">
        <v>97</v>
      </c>
      <c r="D21" s="144">
        <v>2</v>
      </c>
      <c r="E21" s="144">
        <v>2</v>
      </c>
      <c r="H21" s="11" t="s">
        <v>265</v>
      </c>
      <c r="J21" s="101" t="s">
        <v>289</v>
      </c>
      <c r="K21" s="11" t="s">
        <v>247</v>
      </c>
      <c r="L21" s="12" t="s">
        <v>564</v>
      </c>
    </row>
    <row r="22" spans="2:24" ht="16.8" customHeight="1" thickBot="1" x14ac:dyDescent="0.35">
      <c r="B22" s="11" t="s">
        <v>201</v>
      </c>
      <c r="C22" s="144">
        <v>95</v>
      </c>
      <c r="D22" s="144">
        <v>1</v>
      </c>
      <c r="E22" s="144">
        <v>2</v>
      </c>
      <c r="H22" s="11" t="s">
        <v>266</v>
      </c>
      <c r="J22" s="102" t="s">
        <v>288</v>
      </c>
      <c r="K22" s="12" t="s">
        <v>248</v>
      </c>
    </row>
    <row r="23" spans="2:24" ht="16.8" customHeight="1" thickBot="1" x14ac:dyDescent="0.35">
      <c r="B23" s="11" t="s">
        <v>202</v>
      </c>
      <c r="C23" s="144">
        <v>97</v>
      </c>
      <c r="D23" s="144">
        <v>1</v>
      </c>
      <c r="E23" s="144">
        <v>2</v>
      </c>
      <c r="H23" s="12" t="s">
        <v>270</v>
      </c>
    </row>
    <row r="24" spans="2:24" ht="16.8" customHeight="1" x14ac:dyDescent="0.3">
      <c r="B24" s="11" t="s">
        <v>203</v>
      </c>
      <c r="C24" s="144">
        <v>97</v>
      </c>
      <c r="D24" s="144">
        <v>3</v>
      </c>
      <c r="E24" s="144">
        <v>3</v>
      </c>
    </row>
    <row r="25" spans="2:24" ht="16.8" customHeight="1" x14ac:dyDescent="0.3">
      <c r="B25" s="11" t="s">
        <v>204</v>
      </c>
      <c r="C25" s="144">
        <v>96</v>
      </c>
      <c r="D25" s="144">
        <v>2</v>
      </c>
      <c r="E25" s="144">
        <v>2</v>
      </c>
    </row>
    <row r="26" spans="2:24" ht="16.8" customHeight="1" x14ac:dyDescent="0.3">
      <c r="B26" s="11" t="s">
        <v>205</v>
      </c>
      <c r="C26" s="144">
        <v>97</v>
      </c>
      <c r="D26" s="144">
        <v>2</v>
      </c>
      <c r="E26" s="144">
        <v>2</v>
      </c>
    </row>
    <row r="27" spans="2:24" ht="16.8" customHeight="1" x14ac:dyDescent="0.3">
      <c r="B27" s="11" t="s">
        <v>206</v>
      </c>
      <c r="C27" s="144">
        <v>96</v>
      </c>
      <c r="D27" s="144">
        <v>2</v>
      </c>
      <c r="E27" s="144">
        <v>3</v>
      </c>
    </row>
    <row r="28" spans="2:24" ht="16.8" customHeight="1" x14ac:dyDescent="0.3">
      <c r="B28" s="11" t="s">
        <v>207</v>
      </c>
      <c r="C28" s="144">
        <v>99</v>
      </c>
      <c r="D28" s="144">
        <v>1</v>
      </c>
      <c r="E28" s="144">
        <v>2</v>
      </c>
    </row>
    <row r="29" spans="2:24" ht="16.8" customHeight="1" x14ac:dyDescent="0.3">
      <c r="B29" s="11" t="s">
        <v>208</v>
      </c>
      <c r="C29" s="144">
        <v>99</v>
      </c>
      <c r="D29" s="144">
        <v>1</v>
      </c>
      <c r="E29" s="144">
        <v>1</v>
      </c>
    </row>
    <row r="30" spans="2:24" ht="16.8" customHeight="1" x14ac:dyDescent="0.3">
      <c r="B30" s="11" t="s">
        <v>209</v>
      </c>
      <c r="C30" s="144">
        <v>97</v>
      </c>
      <c r="D30" s="144">
        <v>4</v>
      </c>
      <c r="E30" s="144">
        <v>2</v>
      </c>
    </row>
    <row r="31" spans="2:24" ht="16.8" customHeight="1" x14ac:dyDescent="0.3">
      <c r="B31" s="11" t="s">
        <v>210</v>
      </c>
      <c r="C31" s="144">
        <v>95</v>
      </c>
      <c r="D31" s="144">
        <v>2</v>
      </c>
      <c r="E31" s="144">
        <v>3</v>
      </c>
    </row>
    <row r="32" spans="2:24" ht="16.8" customHeight="1" x14ac:dyDescent="0.3">
      <c r="B32" s="11" t="s">
        <v>211</v>
      </c>
      <c r="C32" s="144">
        <v>94</v>
      </c>
      <c r="D32" s="144">
        <v>3</v>
      </c>
      <c r="E32" s="144">
        <v>4</v>
      </c>
    </row>
    <row r="33" spans="2:5" ht="16.8" customHeight="1" x14ac:dyDescent="0.3">
      <c r="B33" s="11" t="s">
        <v>213</v>
      </c>
      <c r="C33" s="144">
        <v>95</v>
      </c>
      <c r="D33" s="144">
        <v>2</v>
      </c>
      <c r="E33" s="144">
        <v>4</v>
      </c>
    </row>
    <row r="34" spans="2:5" ht="16.8" customHeight="1" x14ac:dyDescent="0.3">
      <c r="B34" s="11" t="s">
        <v>212</v>
      </c>
      <c r="C34" s="144">
        <v>97</v>
      </c>
      <c r="D34" s="144">
        <v>2</v>
      </c>
      <c r="E34" s="144">
        <v>2</v>
      </c>
    </row>
    <row r="35" spans="2:5" ht="16.8" customHeight="1" x14ac:dyDescent="0.3">
      <c r="B35" s="11" t="s">
        <v>214</v>
      </c>
      <c r="C35" s="144">
        <v>95</v>
      </c>
      <c r="D35" s="144">
        <v>2</v>
      </c>
      <c r="E35" s="144">
        <v>2</v>
      </c>
    </row>
    <row r="36" spans="2:5" ht="16.8" customHeight="1" x14ac:dyDescent="0.3">
      <c r="B36" s="11" t="s">
        <v>215</v>
      </c>
      <c r="C36" s="144">
        <v>96</v>
      </c>
      <c r="D36" s="144">
        <v>2</v>
      </c>
      <c r="E36" s="144">
        <v>2</v>
      </c>
    </row>
    <row r="37" spans="2:5" ht="16.8" customHeight="1" x14ac:dyDescent="0.3">
      <c r="B37" s="11" t="s">
        <v>216</v>
      </c>
      <c r="C37" s="144">
        <v>94</v>
      </c>
      <c r="D37" s="144">
        <v>3</v>
      </c>
      <c r="E37" s="144">
        <v>3</v>
      </c>
    </row>
    <row r="38" spans="2:5" ht="16.8" customHeight="1" x14ac:dyDescent="0.3">
      <c r="B38" s="11" t="s">
        <v>217</v>
      </c>
      <c r="C38" s="144">
        <v>97</v>
      </c>
      <c r="D38" s="144">
        <v>2</v>
      </c>
      <c r="E38" s="144">
        <v>2</v>
      </c>
    </row>
    <row r="39" spans="2:5" ht="16.8" customHeight="1" x14ac:dyDescent="0.3">
      <c r="B39" s="11" t="s">
        <v>219</v>
      </c>
      <c r="C39" s="144">
        <v>93</v>
      </c>
      <c r="D39" s="144">
        <v>2</v>
      </c>
      <c r="E39" s="144">
        <v>4</v>
      </c>
    </row>
    <row r="40" spans="2:5" ht="16.8" customHeight="1" x14ac:dyDescent="0.3">
      <c r="B40" s="11" t="s">
        <v>218</v>
      </c>
      <c r="C40" s="144">
        <v>93</v>
      </c>
      <c r="D40" s="144">
        <v>3</v>
      </c>
      <c r="E40" s="144">
        <v>4</v>
      </c>
    </row>
    <row r="41" spans="2:5" ht="16.8" customHeight="1" x14ac:dyDescent="0.3">
      <c r="B41" s="11" t="s">
        <v>220</v>
      </c>
      <c r="C41" s="144">
        <v>95</v>
      </c>
      <c r="D41" s="144">
        <v>2</v>
      </c>
      <c r="E41" s="144">
        <v>3</v>
      </c>
    </row>
    <row r="42" spans="2:5" ht="16.8" customHeight="1" x14ac:dyDescent="0.3">
      <c r="B42" s="11" t="s">
        <v>221</v>
      </c>
      <c r="C42" s="144">
        <v>94</v>
      </c>
      <c r="D42" s="144">
        <v>3</v>
      </c>
      <c r="E42" s="144">
        <v>3</v>
      </c>
    </row>
    <row r="43" spans="2:5" ht="16.8" customHeight="1" x14ac:dyDescent="0.3">
      <c r="B43" s="11" t="s">
        <v>222</v>
      </c>
      <c r="C43" s="144">
        <v>96</v>
      </c>
      <c r="D43" s="144">
        <v>2</v>
      </c>
      <c r="E43" s="144">
        <v>2</v>
      </c>
    </row>
    <row r="44" spans="2:5" ht="16.8" customHeight="1" x14ac:dyDescent="0.3">
      <c r="B44" s="11" t="s">
        <v>223</v>
      </c>
      <c r="C44" s="144">
        <v>96</v>
      </c>
      <c r="D44" s="144">
        <v>2</v>
      </c>
      <c r="E44" s="144">
        <v>2</v>
      </c>
    </row>
    <row r="45" spans="2:5" ht="16.8" customHeight="1" x14ac:dyDescent="0.3">
      <c r="B45" s="11" t="s">
        <v>557</v>
      </c>
      <c r="C45" s="144">
        <v>94</v>
      </c>
      <c r="D45" s="144">
        <v>3</v>
      </c>
      <c r="E45" s="144">
        <v>3</v>
      </c>
    </row>
    <row r="46" spans="2:5" ht="16.8" customHeight="1" x14ac:dyDescent="0.3">
      <c r="B46" s="11" t="s">
        <v>558</v>
      </c>
      <c r="C46" s="144">
        <v>93</v>
      </c>
      <c r="D46" s="144">
        <v>3</v>
      </c>
      <c r="E46" s="144">
        <v>3</v>
      </c>
    </row>
    <row r="47" spans="2:5" ht="16.8" customHeight="1" x14ac:dyDescent="0.3">
      <c r="B47" s="11" t="s">
        <v>225</v>
      </c>
      <c r="C47" s="144">
        <v>100</v>
      </c>
      <c r="D47" s="144">
        <v>1</v>
      </c>
      <c r="E47" s="144">
        <v>1</v>
      </c>
    </row>
    <row r="48" spans="2:5" ht="16.8" customHeight="1" x14ac:dyDescent="0.3">
      <c r="B48" s="11" t="s">
        <v>226</v>
      </c>
      <c r="C48" s="144">
        <v>97</v>
      </c>
      <c r="D48" s="144">
        <v>3</v>
      </c>
      <c r="E48" s="144">
        <v>3</v>
      </c>
    </row>
    <row r="49" spans="2:5" ht="16.8" customHeight="1" x14ac:dyDescent="0.3">
      <c r="B49" s="11" t="s">
        <v>227</v>
      </c>
      <c r="C49" s="144">
        <v>100</v>
      </c>
      <c r="D49" s="144">
        <v>1</v>
      </c>
      <c r="E49" s="144">
        <v>1</v>
      </c>
    </row>
    <row r="50" spans="2:5" ht="16.8" customHeight="1" x14ac:dyDescent="0.3">
      <c r="B50" s="11" t="s">
        <v>228</v>
      </c>
      <c r="C50" s="144">
        <v>100</v>
      </c>
      <c r="D50" s="144">
        <v>1</v>
      </c>
      <c r="E50" s="144">
        <v>1</v>
      </c>
    </row>
    <row r="51" spans="2:5" ht="16.8" customHeight="1" x14ac:dyDescent="0.3">
      <c r="B51" s="11" t="s">
        <v>230</v>
      </c>
      <c r="C51" s="144">
        <v>100</v>
      </c>
      <c r="D51" s="144">
        <v>2</v>
      </c>
      <c r="E51" s="144">
        <v>1</v>
      </c>
    </row>
    <row r="52" spans="2:5" ht="16.8" customHeight="1" x14ac:dyDescent="0.3">
      <c r="B52" s="11" t="s">
        <v>231</v>
      </c>
      <c r="C52" s="144">
        <v>96</v>
      </c>
      <c r="D52" s="144">
        <v>3</v>
      </c>
      <c r="E52" s="144">
        <v>3</v>
      </c>
    </row>
    <row r="53" spans="2:5" ht="16.8" customHeight="1" x14ac:dyDescent="0.3">
      <c r="B53" s="11" t="s">
        <v>232</v>
      </c>
      <c r="C53" s="144">
        <v>100</v>
      </c>
      <c r="D53" s="144">
        <v>2</v>
      </c>
      <c r="E53" s="144">
        <v>2</v>
      </c>
    </row>
    <row r="54" spans="2:5" ht="16.8" customHeight="1" x14ac:dyDescent="0.3">
      <c r="B54" s="11" t="s">
        <v>233</v>
      </c>
      <c r="C54" s="144">
        <v>98</v>
      </c>
      <c r="D54" s="144">
        <v>2</v>
      </c>
      <c r="E54" s="144">
        <v>3</v>
      </c>
    </row>
    <row r="55" spans="2:5" ht="16.8" customHeight="1" x14ac:dyDescent="0.3">
      <c r="B55" s="11" t="s">
        <v>235</v>
      </c>
      <c r="C55" s="144">
        <v>100</v>
      </c>
      <c r="D55" s="144">
        <v>1</v>
      </c>
      <c r="E55" s="144">
        <v>1</v>
      </c>
    </row>
    <row r="56" spans="2:5" ht="16.8" customHeight="1" x14ac:dyDescent="0.3">
      <c r="B56" s="11" t="s">
        <v>236</v>
      </c>
      <c r="C56" s="144">
        <v>100</v>
      </c>
      <c r="D56" s="144">
        <v>2</v>
      </c>
      <c r="E56" s="144">
        <v>2</v>
      </c>
    </row>
    <row r="57" spans="2:5" ht="16.8" customHeight="1" x14ac:dyDescent="0.3">
      <c r="B57" s="11" t="s">
        <v>237</v>
      </c>
      <c r="C57" s="144">
        <v>94</v>
      </c>
      <c r="D57" s="144">
        <v>3</v>
      </c>
      <c r="E57" s="144">
        <v>4</v>
      </c>
    </row>
    <row r="58" spans="2:5" ht="16.8" customHeight="1" x14ac:dyDescent="0.3">
      <c r="B58" s="11" t="s">
        <v>239</v>
      </c>
      <c r="C58" s="144">
        <v>99</v>
      </c>
      <c r="D58" s="144">
        <v>3</v>
      </c>
      <c r="E58" s="144">
        <v>3</v>
      </c>
    </row>
    <row r="59" spans="2:5" ht="16.8" customHeight="1" x14ac:dyDescent="0.3">
      <c r="B59" s="11" t="s">
        <v>241</v>
      </c>
      <c r="C59" s="144">
        <v>97</v>
      </c>
      <c r="D59" s="144">
        <v>3</v>
      </c>
      <c r="E59" s="144">
        <v>3</v>
      </c>
    </row>
    <row r="60" spans="2:5" ht="16.8" customHeight="1" x14ac:dyDescent="0.3">
      <c r="B60" s="11" t="s">
        <v>243</v>
      </c>
      <c r="C60" s="144">
        <v>99</v>
      </c>
      <c r="D60" s="144">
        <v>2</v>
      </c>
      <c r="E60" s="144">
        <v>2</v>
      </c>
    </row>
    <row r="61" spans="2:5" ht="16.8" customHeight="1" x14ac:dyDescent="0.3">
      <c r="B61" s="11" t="s">
        <v>244</v>
      </c>
      <c r="C61" s="144">
        <v>97</v>
      </c>
      <c r="D61" s="144">
        <v>3</v>
      </c>
      <c r="E61" s="144">
        <v>1</v>
      </c>
    </row>
    <row r="62" spans="2:5" ht="16.8" customHeight="1" x14ac:dyDescent="0.3">
      <c r="B62" s="11" t="s">
        <v>245</v>
      </c>
      <c r="C62" s="144">
        <v>100</v>
      </c>
      <c r="D62" s="144">
        <v>2</v>
      </c>
      <c r="E62" s="144">
        <v>1</v>
      </c>
    </row>
    <row r="63" spans="2:5" ht="16.8" customHeight="1" x14ac:dyDescent="0.3">
      <c r="B63" s="11" t="s">
        <v>247</v>
      </c>
      <c r="C63" s="144">
        <v>95</v>
      </c>
      <c r="D63" s="144">
        <v>4</v>
      </c>
      <c r="E63" s="144">
        <v>4</v>
      </c>
    </row>
    <row r="64" spans="2:5" ht="16.8" customHeight="1" x14ac:dyDescent="0.3">
      <c r="B64" s="11" t="s">
        <v>248</v>
      </c>
      <c r="C64" s="144">
        <v>98</v>
      </c>
      <c r="D64" s="144">
        <v>2</v>
      </c>
      <c r="E64" s="144">
        <v>2</v>
      </c>
    </row>
    <row r="65" spans="2:5" ht="16.8" customHeight="1" x14ac:dyDescent="0.3">
      <c r="B65" s="11" t="s">
        <v>252</v>
      </c>
      <c r="C65" s="144">
        <v>96</v>
      </c>
      <c r="D65" s="144">
        <v>2</v>
      </c>
      <c r="E65" s="144">
        <v>3</v>
      </c>
    </row>
    <row r="66" spans="2:5" ht="16.8" customHeight="1" x14ac:dyDescent="0.3">
      <c r="B66" s="11" t="s">
        <v>253</v>
      </c>
      <c r="C66" s="144">
        <v>98</v>
      </c>
      <c r="D66" s="144">
        <v>2</v>
      </c>
      <c r="E66" s="144">
        <v>2</v>
      </c>
    </row>
    <row r="67" spans="2:5" ht="16.8" customHeight="1" x14ac:dyDescent="0.3">
      <c r="B67" s="11" t="s">
        <v>254</v>
      </c>
      <c r="C67" s="144">
        <v>94</v>
      </c>
      <c r="D67" s="144">
        <v>3</v>
      </c>
      <c r="E67" s="144">
        <v>3</v>
      </c>
    </row>
    <row r="68" spans="2:5" ht="16.8" customHeight="1" x14ac:dyDescent="0.3">
      <c r="B68" s="11" t="s">
        <v>255</v>
      </c>
      <c r="C68" s="144">
        <v>96</v>
      </c>
      <c r="D68" s="144">
        <v>2</v>
      </c>
      <c r="E68" s="144">
        <v>3</v>
      </c>
    </row>
    <row r="69" spans="2:5" ht="16.8" customHeight="1" x14ac:dyDescent="0.3">
      <c r="B69" s="11" t="s">
        <v>256</v>
      </c>
      <c r="C69" s="144">
        <v>97</v>
      </c>
      <c r="D69" s="144">
        <v>2</v>
      </c>
      <c r="E69" s="144">
        <v>2</v>
      </c>
    </row>
    <row r="70" spans="2:5" ht="16.8" customHeight="1" x14ac:dyDescent="0.3">
      <c r="B70" s="11" t="s">
        <v>260</v>
      </c>
      <c r="C70" s="144">
        <v>99</v>
      </c>
      <c r="D70" s="144">
        <v>1</v>
      </c>
      <c r="E70" s="144">
        <v>2</v>
      </c>
    </row>
    <row r="71" spans="2:5" ht="16.8" customHeight="1" x14ac:dyDescent="0.3">
      <c r="B71" s="11" t="s">
        <v>261</v>
      </c>
      <c r="C71" s="144">
        <v>98</v>
      </c>
      <c r="D71" s="144">
        <v>2</v>
      </c>
      <c r="E71" s="144">
        <v>2</v>
      </c>
    </row>
    <row r="72" spans="2:5" ht="16.8" customHeight="1" x14ac:dyDescent="0.3">
      <c r="B72" s="11" t="s">
        <v>262</v>
      </c>
      <c r="C72" s="144">
        <v>99</v>
      </c>
      <c r="D72" s="144">
        <v>2</v>
      </c>
      <c r="E72" s="144">
        <v>2</v>
      </c>
    </row>
    <row r="73" spans="2:5" ht="16.8" customHeight="1" x14ac:dyDescent="0.3">
      <c r="B73" s="11" t="s">
        <v>265</v>
      </c>
      <c r="C73" s="144">
        <v>97</v>
      </c>
      <c r="D73" s="144">
        <v>2</v>
      </c>
      <c r="E73" s="144">
        <v>2</v>
      </c>
    </row>
    <row r="74" spans="2:5" ht="16.8" customHeight="1" x14ac:dyDescent="0.3">
      <c r="B74" s="11" t="s">
        <v>266</v>
      </c>
      <c r="C74" s="144">
        <v>96</v>
      </c>
      <c r="D74" s="144">
        <v>2</v>
      </c>
      <c r="E74" s="144">
        <v>2</v>
      </c>
    </row>
    <row r="75" spans="2:5" ht="16.8" customHeight="1" x14ac:dyDescent="0.3">
      <c r="B75" s="11" t="s">
        <v>270</v>
      </c>
      <c r="C75" s="144">
        <v>98</v>
      </c>
      <c r="D75" s="144">
        <v>2</v>
      </c>
      <c r="E75" s="144">
        <v>3</v>
      </c>
    </row>
    <row r="76" spans="2:5" ht="16.8" customHeight="1" x14ac:dyDescent="0.3">
      <c r="B76" s="11" t="s">
        <v>283</v>
      </c>
      <c r="C76" s="144">
        <v>95</v>
      </c>
      <c r="D76" s="144">
        <v>4</v>
      </c>
      <c r="E76" s="144">
        <v>3</v>
      </c>
    </row>
    <row r="77" spans="2:5" ht="16.8" customHeight="1" x14ac:dyDescent="0.3">
      <c r="B77" s="11" t="s">
        <v>285</v>
      </c>
      <c r="C77" s="144">
        <v>100</v>
      </c>
      <c r="D77" s="144">
        <v>1</v>
      </c>
      <c r="E77" s="144">
        <v>1</v>
      </c>
    </row>
    <row r="78" spans="2:5" ht="16.8" customHeight="1" x14ac:dyDescent="0.3">
      <c r="B78" s="11" t="s">
        <v>286</v>
      </c>
      <c r="C78" s="144">
        <v>98</v>
      </c>
      <c r="D78" s="144">
        <v>2</v>
      </c>
      <c r="E78" s="144">
        <v>3</v>
      </c>
    </row>
    <row r="79" spans="2:5" ht="16.8" customHeight="1" x14ac:dyDescent="0.3">
      <c r="B79" s="11" t="s">
        <v>289</v>
      </c>
      <c r="C79" s="144">
        <v>99</v>
      </c>
      <c r="D79" s="144">
        <v>1</v>
      </c>
      <c r="E79" s="144">
        <v>2</v>
      </c>
    </row>
    <row r="80" spans="2:5" ht="16.8" customHeight="1" x14ac:dyDescent="0.3">
      <c r="B80" s="11" t="s">
        <v>288</v>
      </c>
      <c r="C80" s="144">
        <v>97</v>
      </c>
      <c r="D80" s="144">
        <v>2</v>
      </c>
      <c r="E80" s="144">
        <v>3</v>
      </c>
    </row>
    <row r="81" spans="2:5" ht="16.8" customHeight="1" x14ac:dyDescent="0.3">
      <c r="B81" s="11" t="s">
        <v>287</v>
      </c>
      <c r="C81" s="144">
        <v>98</v>
      </c>
      <c r="D81" s="144">
        <v>2</v>
      </c>
      <c r="E81" s="144">
        <v>2</v>
      </c>
    </row>
    <row r="82" spans="2:5" ht="16.8" customHeight="1" x14ac:dyDescent="0.3">
      <c r="B82" s="11" t="s">
        <v>290</v>
      </c>
      <c r="C82" s="144">
        <v>100</v>
      </c>
      <c r="D82" s="144">
        <v>1</v>
      </c>
      <c r="E82" s="144">
        <v>1</v>
      </c>
    </row>
    <row r="83" spans="2:5" ht="16.8" customHeight="1" x14ac:dyDescent="0.3">
      <c r="B83" s="11" t="s">
        <v>291</v>
      </c>
      <c r="C83" s="144">
        <v>99</v>
      </c>
      <c r="D83" s="144">
        <v>3</v>
      </c>
      <c r="E83" s="144">
        <v>2</v>
      </c>
    </row>
    <row r="84" spans="2:5" ht="16.8" customHeight="1" x14ac:dyDescent="0.3">
      <c r="B84" s="11" t="s">
        <v>297</v>
      </c>
      <c r="C84" s="144">
        <v>99</v>
      </c>
      <c r="D84" s="144">
        <v>2</v>
      </c>
      <c r="E84" s="144">
        <v>2</v>
      </c>
    </row>
    <row r="85" spans="2:5" ht="16.8" customHeight="1" x14ac:dyDescent="0.3">
      <c r="B85" s="11" t="s">
        <v>298</v>
      </c>
      <c r="C85" s="144">
        <v>98</v>
      </c>
      <c r="D85" s="144">
        <v>2</v>
      </c>
      <c r="E85" s="144">
        <v>2</v>
      </c>
    </row>
    <row r="86" spans="2:5" ht="16.8" customHeight="1" x14ac:dyDescent="0.3">
      <c r="B86" s="11" t="s">
        <v>559</v>
      </c>
      <c r="C86" s="144">
        <v>98</v>
      </c>
      <c r="D86" s="144">
        <v>2</v>
      </c>
      <c r="E86" s="144">
        <v>2</v>
      </c>
    </row>
    <row r="87" spans="2:5" ht="16.8" customHeight="1" x14ac:dyDescent="0.3">
      <c r="B87" s="11" t="s">
        <v>560</v>
      </c>
      <c r="C87" s="144">
        <v>97</v>
      </c>
      <c r="D87" s="144">
        <v>2</v>
      </c>
      <c r="E87" s="144">
        <v>2</v>
      </c>
    </row>
    <row r="88" spans="2:5" ht="16.8" customHeight="1" x14ac:dyDescent="0.3">
      <c r="B88" s="11" t="s">
        <v>561</v>
      </c>
      <c r="C88" s="144">
        <v>98</v>
      </c>
      <c r="D88" s="144">
        <v>2</v>
      </c>
      <c r="E88" s="144">
        <v>1</v>
      </c>
    </row>
    <row r="89" spans="2:5" ht="16.8" customHeight="1" x14ac:dyDescent="0.3">
      <c r="B89" s="11" t="s">
        <v>562</v>
      </c>
      <c r="C89" s="144">
        <v>97</v>
      </c>
      <c r="D89" s="144">
        <v>2</v>
      </c>
      <c r="E89" s="144">
        <v>2</v>
      </c>
    </row>
    <row r="90" spans="2:5" ht="16.8" customHeight="1" x14ac:dyDescent="0.3">
      <c r="B90" s="11" t="s">
        <v>563</v>
      </c>
      <c r="C90" s="144">
        <v>99</v>
      </c>
      <c r="D90" s="144">
        <v>1</v>
      </c>
      <c r="E90" s="144">
        <v>2</v>
      </c>
    </row>
    <row r="91" spans="2:5" ht="16.8" customHeight="1" thickBot="1" x14ac:dyDescent="0.35">
      <c r="B91" s="12" t="s">
        <v>564</v>
      </c>
      <c r="C91" s="145">
        <v>98</v>
      </c>
      <c r="D91" s="145">
        <v>2</v>
      </c>
      <c r="E91" s="145">
        <v>2</v>
      </c>
    </row>
  </sheetData>
  <sortState xmlns:xlrd2="http://schemas.microsoft.com/office/spreadsheetml/2017/richdata2" ref="X5:Y11">
    <sortCondition ref="Y5:Y11"/>
  </sortState>
  <mergeCells count="2">
    <mergeCell ref="B2:E3"/>
    <mergeCell ref="H2:L3"/>
  </mergeCells>
  <phoneticPr fontId="1" type="noConversion"/>
  <conditionalFormatting sqref="C5:C91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91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91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05CD-D33C-408D-BACF-8AB78310E853}">
  <sheetPr codeName="Sheet5"/>
  <dimension ref="B2:CZ17"/>
  <sheetViews>
    <sheetView topLeftCell="V1" zoomScale="80" workbookViewId="0">
      <selection activeCell="B17" sqref="B17"/>
    </sheetView>
  </sheetViews>
  <sheetFormatPr defaultRowHeight="16.8" customHeight="1" x14ac:dyDescent="0.3"/>
  <cols>
    <col min="1" max="1" width="3.109375" style="4" customWidth="1"/>
    <col min="2" max="2" width="27.77734375" style="4" customWidth="1"/>
    <col min="3" max="5" width="11.109375" style="4" customWidth="1"/>
    <col min="6" max="7" width="3.109375" style="4" customWidth="1"/>
    <col min="8" max="8" width="10" style="4" customWidth="1"/>
    <col min="9" max="9" width="11.109375" style="4" customWidth="1"/>
    <col min="10" max="10" width="13.33203125" style="4" customWidth="1"/>
    <col min="11" max="11" width="11.109375" style="4" customWidth="1"/>
    <col min="12" max="13" width="3.109375" style="4" customWidth="1"/>
    <col min="14" max="14" width="20" style="4" customWidth="1"/>
    <col min="15" max="16" width="3.109375" style="4" customWidth="1"/>
    <col min="17" max="19" width="11.109375" style="4" customWidth="1"/>
    <col min="20" max="21" width="3.109375" style="4" customWidth="1"/>
    <col min="22" max="22" width="27.77734375" style="4" customWidth="1"/>
    <col min="23" max="26" width="11.109375" style="4" customWidth="1"/>
    <col min="27" max="28" width="13.33203125" style="4" customWidth="1"/>
    <col min="29" max="29" width="3.109375" style="4" customWidth="1"/>
    <col min="30" max="30" width="3.109375" style="4" hidden="1" customWidth="1"/>
    <col min="31" max="31" width="10" style="4" hidden="1" customWidth="1"/>
    <col min="32" max="32" width="3.109375" style="4" hidden="1" customWidth="1"/>
    <col min="33" max="33" width="3.109375" style="4" customWidth="1"/>
    <col min="34" max="34" width="27.77734375" style="4" customWidth="1"/>
    <col min="35" max="43" width="10" style="4" customWidth="1"/>
    <col min="44" max="45" width="3.109375" style="4" customWidth="1"/>
    <col min="46" max="46" width="27.77734375" style="4" customWidth="1"/>
    <col min="47" max="51" width="11.109375" style="4" customWidth="1"/>
    <col min="52" max="53" width="3.109375" style="4" customWidth="1"/>
    <col min="54" max="54" width="12.21875" style="4" customWidth="1"/>
    <col min="55" max="56" width="11.109375" style="4" customWidth="1"/>
    <col min="57" max="57" width="13.33203125" style="4" customWidth="1"/>
    <col min="58" max="58" width="11.109375" style="4" customWidth="1"/>
    <col min="59" max="60" width="13.33203125" style="4" customWidth="1"/>
    <col min="61" max="61" width="3.109375" style="4" customWidth="1"/>
    <col min="62" max="62" width="3.109375" style="4" hidden="1" customWidth="1"/>
    <col min="63" max="63" width="12.21875" style="4" hidden="1" customWidth="1"/>
    <col min="64" max="64" width="11.109375" style="4" hidden="1" customWidth="1"/>
    <col min="65" max="65" width="13.33203125" style="4" hidden="1" customWidth="1"/>
    <col min="66" max="66" width="3.109375" style="4" hidden="1" customWidth="1"/>
    <col min="67" max="67" width="3.109375" style="4" customWidth="1"/>
    <col min="68" max="68" width="12.21875" style="4" customWidth="1"/>
    <col min="69" max="71" width="10" style="4" customWidth="1"/>
    <col min="72" max="72" width="13.33203125" style="4" customWidth="1"/>
    <col min="73" max="74" width="3.109375" style="4" customWidth="1"/>
    <col min="75" max="75" width="12.21875" style="4" customWidth="1"/>
    <col min="76" max="77" width="11.109375" style="4" customWidth="1"/>
    <col min="78" max="79" width="3.109375" style="4" customWidth="1"/>
    <col min="80" max="80" width="23.33203125" style="4" customWidth="1"/>
    <col min="81" max="83" width="8.88671875" style="4"/>
    <col min="84" max="84" width="3.109375" style="4" customWidth="1"/>
    <col min="85" max="85" width="23.33203125" style="4" customWidth="1"/>
    <col min="86" max="88" width="8.88671875" style="4"/>
    <col min="89" max="89" width="3.109375" style="4" customWidth="1"/>
    <col min="90" max="90" width="23.33203125" style="4" customWidth="1"/>
    <col min="91" max="93" width="8.88671875" style="4"/>
    <col min="94" max="95" width="3.109375" style="4" customWidth="1"/>
    <col min="96" max="96" width="23.33203125" style="4" customWidth="1"/>
    <col min="97" max="99" width="8.88671875" style="4"/>
    <col min="100" max="100" width="3.109375" style="4" customWidth="1"/>
    <col min="101" max="101" width="23.33203125" style="4" customWidth="1"/>
    <col min="102" max="104" width="8.88671875" style="4"/>
    <col min="105" max="105" width="3.109375" style="4" customWidth="1"/>
    <col min="106" max="16384" width="8.88671875" style="4"/>
  </cols>
  <sheetData>
    <row r="2" spans="2:104" ht="16.8" customHeight="1" x14ac:dyDescent="0.3">
      <c r="B2" s="179" t="s">
        <v>609</v>
      </c>
      <c r="C2" s="179"/>
      <c r="D2" s="179"/>
      <c r="E2" s="179"/>
      <c r="H2" s="179" t="s">
        <v>609</v>
      </c>
      <c r="I2" s="179"/>
      <c r="J2" s="179"/>
      <c r="K2" s="179"/>
      <c r="N2" s="5" t="s">
        <v>609</v>
      </c>
      <c r="Q2" s="179" t="s">
        <v>609</v>
      </c>
      <c r="R2" s="179"/>
      <c r="S2" s="179"/>
      <c r="V2" s="179" t="s">
        <v>609</v>
      </c>
      <c r="W2" s="179"/>
      <c r="X2" s="179"/>
      <c r="Y2" s="179"/>
      <c r="Z2" s="179"/>
      <c r="AA2" s="179"/>
      <c r="AB2" s="179"/>
      <c r="AH2" s="179" t="s">
        <v>609</v>
      </c>
      <c r="AI2" s="179"/>
      <c r="AJ2" s="179"/>
      <c r="AK2" s="179"/>
      <c r="AL2" s="179"/>
      <c r="AM2" s="179"/>
      <c r="AN2" s="179"/>
      <c r="AO2" s="179"/>
      <c r="AP2" s="179"/>
      <c r="AQ2" s="179"/>
      <c r="AT2" s="179" t="s">
        <v>609</v>
      </c>
      <c r="AU2" s="179"/>
      <c r="AV2" s="179"/>
      <c r="AW2" s="179"/>
      <c r="AX2" s="179"/>
      <c r="AY2" s="179"/>
      <c r="BB2" s="179" t="s">
        <v>609</v>
      </c>
      <c r="BC2" s="179"/>
      <c r="BD2" s="179"/>
      <c r="BE2" s="179"/>
      <c r="BF2" s="179"/>
      <c r="BG2" s="179"/>
      <c r="BH2" s="179"/>
      <c r="BK2" s="219" t="s">
        <v>609</v>
      </c>
      <c r="BL2" s="219"/>
      <c r="BM2" s="219"/>
      <c r="BP2" s="179" t="s">
        <v>609</v>
      </c>
      <c r="BQ2" s="179"/>
      <c r="BR2" s="179"/>
      <c r="BS2" s="179"/>
      <c r="BT2" s="179"/>
      <c r="BW2" s="179" t="s">
        <v>609</v>
      </c>
      <c r="BX2" s="179"/>
      <c r="BY2" s="179"/>
    </row>
    <row r="3" spans="2:104" ht="16.8" customHeight="1" x14ac:dyDescent="0.3">
      <c r="B3" s="179" t="s">
        <v>392</v>
      </c>
      <c r="C3" s="179"/>
      <c r="D3" s="179"/>
      <c r="E3" s="179"/>
      <c r="H3" s="179" t="s">
        <v>393</v>
      </c>
      <c r="I3" s="179"/>
      <c r="J3" s="179"/>
      <c r="K3" s="179"/>
      <c r="N3" s="5" t="s">
        <v>394</v>
      </c>
      <c r="Q3" s="179" t="s">
        <v>395</v>
      </c>
      <c r="R3" s="179"/>
      <c r="S3" s="179"/>
      <c r="V3" s="179" t="s">
        <v>0</v>
      </c>
      <c r="W3" s="183" t="s">
        <v>413</v>
      </c>
      <c r="X3" s="179" t="s">
        <v>417</v>
      </c>
      <c r="Y3" s="179"/>
      <c r="Z3" s="179"/>
      <c r="AA3" s="179"/>
      <c r="AB3" s="179" t="s">
        <v>669</v>
      </c>
      <c r="AH3" s="179" t="s">
        <v>396</v>
      </c>
      <c r="AI3" s="179"/>
      <c r="AJ3" s="179"/>
      <c r="AK3" s="179"/>
      <c r="AL3" s="179"/>
      <c r="AM3" s="179"/>
      <c r="AN3" s="179"/>
      <c r="AO3" s="179"/>
      <c r="AP3" s="179"/>
      <c r="AQ3" s="179"/>
      <c r="AT3" s="179" t="s">
        <v>414</v>
      </c>
      <c r="AU3" s="179"/>
      <c r="AV3" s="179"/>
      <c r="AW3" s="179"/>
      <c r="AX3" s="179"/>
      <c r="AY3" s="179"/>
      <c r="BB3" s="179" t="s">
        <v>1</v>
      </c>
      <c r="BC3" s="179" t="s">
        <v>1</v>
      </c>
      <c r="BD3" s="179" t="s">
        <v>175</v>
      </c>
      <c r="BE3" s="179"/>
      <c r="BF3" s="179" t="s">
        <v>40</v>
      </c>
      <c r="BG3" s="183" t="s">
        <v>344</v>
      </c>
      <c r="BH3" s="179" t="s">
        <v>154</v>
      </c>
      <c r="BK3" s="219" t="s">
        <v>401</v>
      </c>
      <c r="BL3" s="219"/>
      <c r="BM3" s="219"/>
      <c r="BP3" s="179" t="s">
        <v>397</v>
      </c>
      <c r="BQ3" s="179"/>
      <c r="BR3" s="179"/>
      <c r="BS3" s="179"/>
      <c r="BT3" s="179"/>
      <c r="BW3" s="179" t="s">
        <v>398</v>
      </c>
      <c r="BX3" s="179"/>
      <c r="BY3" s="179"/>
      <c r="CB3" s="179" t="s">
        <v>111</v>
      </c>
      <c r="CC3" s="179"/>
      <c r="CD3" s="179"/>
      <c r="CE3" s="179"/>
      <c r="CG3" s="179" t="s">
        <v>112</v>
      </c>
      <c r="CH3" s="179"/>
      <c r="CI3" s="179"/>
      <c r="CJ3" s="179"/>
      <c r="CL3" s="179" t="s">
        <v>113</v>
      </c>
      <c r="CM3" s="179"/>
      <c r="CN3" s="179"/>
      <c r="CO3" s="179"/>
      <c r="CR3" s="179" t="s">
        <v>670</v>
      </c>
      <c r="CS3" s="179"/>
      <c r="CT3" s="179"/>
      <c r="CU3" s="179"/>
      <c r="CW3" s="179" t="s">
        <v>341</v>
      </c>
      <c r="CX3" s="179"/>
      <c r="CY3" s="179"/>
      <c r="CZ3" s="179"/>
    </row>
    <row r="4" spans="2:104" ht="16.8" customHeight="1" x14ac:dyDescent="0.3">
      <c r="B4" s="5" t="s">
        <v>0</v>
      </c>
      <c r="C4" s="5" t="s">
        <v>422</v>
      </c>
      <c r="D4" s="5" t="s">
        <v>2</v>
      </c>
      <c r="E4" s="5" t="s">
        <v>3</v>
      </c>
      <c r="H4" s="5" t="s">
        <v>156</v>
      </c>
      <c r="I4" s="5" t="s">
        <v>155</v>
      </c>
      <c r="J4" s="5" t="s">
        <v>42</v>
      </c>
      <c r="K4" s="5" t="s">
        <v>157</v>
      </c>
      <c r="N4" s="5" t="s">
        <v>155</v>
      </c>
      <c r="Q4" s="5" t="s">
        <v>156</v>
      </c>
      <c r="R4" s="5" t="s">
        <v>155</v>
      </c>
      <c r="S4" s="5" t="s">
        <v>157</v>
      </c>
      <c r="V4" s="179"/>
      <c r="W4" s="179"/>
      <c r="X4" s="5" t="s">
        <v>39</v>
      </c>
      <c r="Y4" s="5" t="s">
        <v>1</v>
      </c>
      <c r="Z4" s="5" t="s">
        <v>415</v>
      </c>
      <c r="AA4" s="5" t="s">
        <v>416</v>
      </c>
      <c r="AB4" s="179"/>
      <c r="AE4" s="19" t="s">
        <v>369</v>
      </c>
      <c r="AH4" s="5" t="s">
        <v>0</v>
      </c>
      <c r="AI4" s="5" t="s">
        <v>39</v>
      </c>
      <c r="AJ4" s="5" t="s">
        <v>1</v>
      </c>
      <c r="AK4" s="5" t="s">
        <v>375</v>
      </c>
      <c r="AL4" s="5" t="s">
        <v>39</v>
      </c>
      <c r="AM4" s="5" t="s">
        <v>1</v>
      </c>
      <c r="AN4" s="5" t="s">
        <v>375</v>
      </c>
      <c r="AO4" s="5" t="s">
        <v>2</v>
      </c>
      <c r="AP4" s="5" t="s">
        <v>3</v>
      </c>
      <c r="AQ4" s="5" t="s">
        <v>40</v>
      </c>
      <c r="AT4" s="5" t="s">
        <v>0</v>
      </c>
      <c r="AU4" s="5" t="s">
        <v>176</v>
      </c>
      <c r="AV4" s="5" t="s">
        <v>177</v>
      </c>
      <c r="AW4" s="5" t="s">
        <v>178</v>
      </c>
      <c r="AX4" s="5" t="s">
        <v>179</v>
      </c>
      <c r="AY4" s="5" t="s">
        <v>40</v>
      </c>
      <c r="BB4" s="179"/>
      <c r="BC4" s="179"/>
      <c r="BD4" s="5" t="s">
        <v>176</v>
      </c>
      <c r="BE4" s="5" t="s">
        <v>177</v>
      </c>
      <c r="BF4" s="179"/>
      <c r="BG4" s="183"/>
      <c r="BH4" s="179"/>
      <c r="BK4" s="19" t="s">
        <v>381</v>
      </c>
      <c r="BL4" s="19" t="s">
        <v>1</v>
      </c>
      <c r="BM4" s="19" t="s">
        <v>175</v>
      </c>
      <c r="BP4" s="5" t="s">
        <v>2</v>
      </c>
      <c r="BQ4" s="5" t="s">
        <v>2</v>
      </c>
      <c r="BR4" s="5" t="s">
        <v>41</v>
      </c>
      <c r="BS4" s="5" t="s">
        <v>40</v>
      </c>
      <c r="BT4" s="5" t="s">
        <v>154</v>
      </c>
      <c r="BW4" s="5" t="s">
        <v>3</v>
      </c>
      <c r="BX4" s="5" t="s">
        <v>3</v>
      </c>
      <c r="BY4" s="5" t="s">
        <v>306</v>
      </c>
      <c r="CB4" s="5" t="s">
        <v>43</v>
      </c>
      <c r="CC4" s="5" t="s">
        <v>114</v>
      </c>
      <c r="CD4" s="5" t="s">
        <v>115</v>
      </c>
      <c r="CE4" s="5" t="s">
        <v>306</v>
      </c>
      <c r="CG4" s="5" t="s">
        <v>43</v>
      </c>
      <c r="CH4" s="5" t="s">
        <v>114</v>
      </c>
      <c r="CI4" s="5" t="s">
        <v>115</v>
      </c>
      <c r="CJ4" s="5" t="s">
        <v>306</v>
      </c>
      <c r="CL4" s="5" t="s">
        <v>43</v>
      </c>
      <c r="CM4" s="5" t="s">
        <v>114</v>
      </c>
      <c r="CN4" s="5" t="s">
        <v>115</v>
      </c>
      <c r="CO4" s="5" t="s">
        <v>306</v>
      </c>
      <c r="CR4" s="5" t="s">
        <v>43</v>
      </c>
      <c r="CS4" s="5" t="s">
        <v>114</v>
      </c>
      <c r="CT4" s="5" t="s">
        <v>115</v>
      </c>
      <c r="CU4" s="5" t="s">
        <v>306</v>
      </c>
      <c r="CW4" s="5" t="s">
        <v>43</v>
      </c>
      <c r="CX4" s="5" t="s">
        <v>114</v>
      </c>
      <c r="CY4" s="5" t="s">
        <v>115</v>
      </c>
      <c r="CZ4" s="5" t="s">
        <v>306</v>
      </c>
    </row>
    <row r="5" spans="2:104" ht="16.8" customHeight="1" x14ac:dyDescent="0.3">
      <c r="B5" s="22" t="str">
        <f>IF(Start!B5 &lt;&gt; "", Start!B5, "")</f>
        <v>Bruh Racing</v>
      </c>
      <c r="C5" s="5" t="str">
        <f>IF(Start!C5 &lt;&gt; "", Start!C5, "")</f>
        <v>Lola</v>
      </c>
      <c r="D5" s="5" t="str">
        <f>IF(Start!D5 &lt;&gt; "", Start!D5, "")</f>
        <v>Chevrolet</v>
      </c>
      <c r="E5" s="5" t="str">
        <f>IF(Start!E5 &lt;&gt; "", Start!E5, "")</f>
        <v>Pirelli</v>
      </c>
      <c r="H5" s="135">
        <f>AQ5</f>
        <v>692</v>
      </c>
      <c r="I5" s="135">
        <f>W5</f>
        <v>101</v>
      </c>
      <c r="J5" s="135">
        <f>ROUND((CC5 + CH5 + CM5) / 3, 1)</f>
        <v>98.7</v>
      </c>
      <c r="K5" s="135">
        <f>SUM(H5:I5)</f>
        <v>793</v>
      </c>
      <c r="N5" s="5">
        <v>14</v>
      </c>
      <c r="Q5" s="5">
        <f t="shared" ref="Q5:Q14" si="0">IF(OR(IF(C5 = "", TRUE, FALSE), IF(E5 = "", TRUE, FALSE)), 0, VLOOKUP(C5, chassisStatsNew, 6, TRUE) + VLOOKUP(E5, tyreStatsNew, 3, FALSE))</f>
        <v>3</v>
      </c>
      <c r="R5" s="5">
        <v>2</v>
      </c>
      <c r="S5" s="135">
        <f t="shared" ref="S5:S14" si="1">Q5 + R5</f>
        <v>5</v>
      </c>
      <c r="V5" s="22" t="str">
        <f t="shared" ref="V5:V14" si="2">B5</f>
        <v>Bruh Racing</v>
      </c>
      <c r="W5" s="5">
        <v>101</v>
      </c>
      <c r="X5" s="5">
        <v>7</v>
      </c>
      <c r="Y5" s="5">
        <v>7</v>
      </c>
      <c r="Z5" s="5">
        <v>7</v>
      </c>
      <c r="AA5" s="5">
        <v>3</v>
      </c>
      <c r="AB5" s="135">
        <f>SUM(W5:AA5)</f>
        <v>125</v>
      </c>
      <c r="AE5" s="19">
        <f>SUM(X5:AA5)</f>
        <v>24</v>
      </c>
      <c r="AH5" s="22" t="str">
        <f t="shared" ref="AH5:AH14" si="3">B5</f>
        <v>Bruh Racing</v>
      </c>
      <c r="AI5" s="5">
        <f>X5</f>
        <v>7</v>
      </c>
      <c r="AJ5" s="5">
        <f>Y5</f>
        <v>7</v>
      </c>
      <c r="AK5" s="5">
        <f>SUM(Z5:AA5)</f>
        <v>10</v>
      </c>
      <c r="AL5" s="5">
        <f>AY5</f>
        <v>133</v>
      </c>
      <c r="AM5" s="5">
        <f>IF(C5 &lt;&gt; "", VLOOKUP(C5, chassisStatsNew, 2, FALSE), 0)</f>
        <v>100</v>
      </c>
      <c r="AN5" s="5">
        <f t="shared" ref="AN5:AN14" si="4">IF(C5 &lt;&gt; "", VLOOKUP(C5, chassisStatsNew, 3, FALSE) + VLOOKUP(C5, chassisStatsNew, 4, FALSE), 0)</f>
        <v>113</v>
      </c>
      <c r="AO5" s="5">
        <f t="shared" ref="AO5:AO14" si="5">IF(D5 &lt;&gt; "", VLOOKUP(D5, engineStatsNew, 4, FALSE), 0)</f>
        <v>216</v>
      </c>
      <c r="AP5" s="5">
        <f t="shared" ref="AP5:AP14" si="6">IF(E5 &lt;&gt; "", VLOOKUP(E5, tyreStatsNew, 2, FALSE), 0)</f>
        <v>106</v>
      </c>
      <c r="AQ5" s="135">
        <f>SUM(AI5:AP5)</f>
        <v>692</v>
      </c>
      <c r="AT5" s="22" t="str">
        <f t="shared" ref="AT5:AT14" si="7">B5</f>
        <v>Bruh Racing</v>
      </c>
      <c r="AU5" s="5">
        <v>36</v>
      </c>
      <c r="AV5" s="5">
        <v>28</v>
      </c>
      <c r="AW5" s="5">
        <v>44</v>
      </c>
      <c r="AX5" s="5">
        <v>25</v>
      </c>
      <c r="AY5" s="135">
        <f>SUM(AU5:AX5)</f>
        <v>133</v>
      </c>
      <c r="BB5" s="55" t="s">
        <v>34</v>
      </c>
      <c r="BC5" s="5">
        <v>100</v>
      </c>
      <c r="BD5" s="5">
        <v>53</v>
      </c>
      <c r="BE5" s="5">
        <v>60</v>
      </c>
      <c r="BF5" s="135">
        <f>SUM(BC5:BE5)</f>
        <v>213</v>
      </c>
      <c r="BG5" s="5">
        <v>2</v>
      </c>
      <c r="BH5" s="5">
        <v>75</v>
      </c>
      <c r="BK5" s="19" t="s">
        <v>34</v>
      </c>
      <c r="BL5" s="113">
        <f>BC5</f>
        <v>100</v>
      </c>
      <c r="BM5" s="19">
        <f>SUM(BD5:BE5)</f>
        <v>113</v>
      </c>
      <c r="BP5" s="56" t="s">
        <v>8</v>
      </c>
      <c r="BQ5" s="5">
        <v>109</v>
      </c>
      <c r="BR5" s="5">
        <v>107</v>
      </c>
      <c r="BS5" s="135">
        <f>SUM(BQ5:BR5)</f>
        <v>216</v>
      </c>
      <c r="BT5" s="5">
        <v>75</v>
      </c>
      <c r="BW5" s="61" t="s">
        <v>11</v>
      </c>
      <c r="BX5" s="135">
        <v>107</v>
      </c>
      <c r="BY5" s="5">
        <v>1</v>
      </c>
      <c r="CB5" s="22" t="str">
        <f>IF(Lineups!B22 &lt;&gt; "", Lineups!B22, "")</f>
        <v>Christian Lundgaard</v>
      </c>
      <c r="CC5" s="5">
        <f t="shared" ref="CC5:CC14" si="8">IF(OR(IF(CB5 = "", TRUE, FALSE), IF(CB5 = "-", TRUE, FALSE)) = FALSE, VLOOKUP(CB5, driverStats, 2, FALSE), 0)</f>
        <v>100</v>
      </c>
      <c r="CD5" s="5">
        <f t="shared" ref="CD5:CD14" si="9">IF(OR(IF(CB5 = "", TRUE, FALSE), IF(CB5 = "-", TRUE, FALSE)) = FALSE, VLOOKUP(CB5, driverStats, 3, FALSE), "")</f>
        <v>2</v>
      </c>
      <c r="CE5" s="5">
        <f t="shared" ref="CE5:CE14" si="10">IF(OR(IF(CB5 = "", TRUE, FALSE), IF(CB5 = "-", TRUE, FALSE)) = FALSE, VLOOKUP(CB5, driverStats, 4, FALSE), "")</f>
        <v>2</v>
      </c>
      <c r="CG5" s="22" t="str">
        <f>IF(Lineups!B23 &lt;&gt; "", Lineups!B23, "")</f>
        <v>Rinus VeeKay</v>
      </c>
      <c r="CH5" s="5">
        <f t="shared" ref="CH5:CH14" si="11">IF(OR(IF(CG5 = "", TRUE, FALSE), IF(CG5 = "-", TRUE, FALSE)) = FALSE, VLOOKUP(CG5, driverStats, 2, FALSE), 0)</f>
        <v>100</v>
      </c>
      <c r="CI5" s="5">
        <f t="shared" ref="CI5:CI14" si="12">IF(OR(IF(CG5 = "", TRUE, FALSE), IF(CG5 = "-", TRUE, FALSE)) = FALSE, VLOOKUP(CG5, driverStats, 3, FALSE), "")</f>
        <v>2</v>
      </c>
      <c r="CJ5" s="5">
        <f t="shared" ref="CJ5:CJ14" si="13">IF(OR(IF(CG5 = "", TRUE, FALSE), IF(CG5 = "-", TRUE, FALSE)) = FALSE, VLOOKUP(CG5, driverStats, 4, FALSE), "")</f>
        <v>2</v>
      </c>
      <c r="CL5" s="22" t="str">
        <f>IF(Lineups!B24 &lt;&gt; "", Lineups!B24, "")</f>
        <v>Tuukka Taponen</v>
      </c>
      <c r="CM5" s="5">
        <f t="shared" ref="CM5:CM14" si="14">IF(OR(IF(CL5 = "", TRUE, FALSE), IF(CL5 = "-", TRUE, FALSE)) = FALSE, VLOOKUP(CL5, driverStats, 2, FALSE), 0)</f>
        <v>96</v>
      </c>
      <c r="CN5" s="5">
        <f t="shared" ref="CN5:CN14" si="15">IF(OR(IF(CL5 = "", TRUE, FALSE), IF(CL5 = "-", TRUE, FALSE)) = FALSE, VLOOKUP(CL5, driverStats, 3, FALSE), "")</f>
        <v>2</v>
      </c>
      <c r="CO5" s="5">
        <f t="shared" ref="CO5:CO14" si="16">IF(OR(IF(CL5 = "", TRUE, FALSE), IF(CL5 = "-", TRUE, FALSE)) = FALSE, VLOOKUP(CL5, driverStats, 4, FALSE), "")</f>
        <v>2</v>
      </c>
      <c r="CR5" s="22"/>
      <c r="CS5" s="5">
        <f t="shared" ref="CS5:CS14" si="17">IF(OR(IF(CR5 = "", TRUE, FALSE), IF(CR5 = "-", TRUE, FALSE)) = FALSE, VLOOKUP(CR5, driverStats, 2, FALSE), 0)</f>
        <v>0</v>
      </c>
      <c r="CT5" s="5" t="str">
        <f t="shared" ref="CT5:CT14" si="18">IF(OR(IF(CR5 = "", TRUE, FALSE), IF(CR5 = "-", TRUE, FALSE)) = FALSE, VLOOKUP(CR5, driverStats, 3, FALSE), "")</f>
        <v/>
      </c>
      <c r="CU5" s="5" t="str">
        <f t="shared" ref="CU5:CU14" si="19">IF(OR(IF(CR5 = "", TRUE, FALSE), IF(CR5 = "-", TRUE, FALSE)) = FALSE, VLOOKUP(CR5, driverStats, 4, FALSE), "")</f>
        <v/>
      </c>
      <c r="CW5" s="22" t="str">
        <f>IF(Lineups!B25 &lt;&gt; "", Lineups!B25, "")</f>
        <v>Oliver Goethe</v>
      </c>
      <c r="CX5" s="5">
        <f t="shared" ref="CX5:CX14" si="20">IF(OR(IF(CW5 = "", TRUE, FALSE), IF(CW5 = "-", TRUE, FALSE)) = FALSE, VLOOKUP(CW5, driverStats, 2, FALSE), 0)</f>
        <v>95</v>
      </c>
      <c r="CY5" s="5">
        <f t="shared" ref="CY5:CY14" si="21">IF(OR(IF(CW5 = "", TRUE, FALSE), IF(CW5 = "-", TRUE, FALSE)) = FALSE, VLOOKUP(CW5, driverStats, 3, FALSE), "")</f>
        <v>1</v>
      </c>
      <c r="CZ5" s="5">
        <f t="shared" ref="CZ5:CZ14" si="22">IF(OR(IF(CW5 = "", TRUE, FALSE), IF(CW5 = "-", TRUE, FALSE)) = FALSE, VLOOKUP(CW5, driverStats, 4, FALSE), "")</f>
        <v>2</v>
      </c>
    </row>
    <row r="6" spans="2:104" ht="16.8" customHeight="1" x14ac:dyDescent="0.3">
      <c r="B6" s="23" t="str">
        <f>IF(Start!B6 &lt;&gt; "", Start!B6, "")</f>
        <v>Tactically Perfect Racing</v>
      </c>
      <c r="C6" s="5" t="str">
        <f>IF(Start!C6 &lt;&gt; "", Start!C6, "")</f>
        <v>Tatuus</v>
      </c>
      <c r="D6" s="5" t="str">
        <f>IF(Start!D6 &lt;&gt; "", Start!D6, "")</f>
        <v>Porsche</v>
      </c>
      <c r="E6" s="5" t="str">
        <f>IF(Start!E6 &lt;&gt; "", Start!E6, "")</f>
        <v>Michelin</v>
      </c>
      <c r="H6" s="135">
        <f t="shared" ref="H6:H12" si="23">AQ6</f>
        <v>689</v>
      </c>
      <c r="I6" s="135">
        <f t="shared" ref="I6:I14" si="24">W6</f>
        <v>104</v>
      </c>
      <c r="J6" s="135">
        <f t="shared" ref="J6:J12" si="25">ROUND((CC6 + CH6 + CM6) / 3, 1)</f>
        <v>99.7</v>
      </c>
      <c r="K6" s="135">
        <f t="shared" ref="K6:K14" si="26">SUM(H6:I6)</f>
        <v>793</v>
      </c>
      <c r="N6" s="5">
        <v>15</v>
      </c>
      <c r="Q6" s="5">
        <f t="shared" si="0"/>
        <v>2</v>
      </c>
      <c r="R6" s="5">
        <v>1</v>
      </c>
      <c r="S6" s="135">
        <f t="shared" si="1"/>
        <v>3</v>
      </c>
      <c r="V6" s="23" t="str">
        <f t="shared" si="2"/>
        <v>Tactically Perfect Racing</v>
      </c>
      <c r="W6" s="5">
        <v>104</v>
      </c>
      <c r="X6" s="5">
        <v>7</v>
      </c>
      <c r="Y6" s="5">
        <v>3</v>
      </c>
      <c r="Z6" s="5">
        <v>3</v>
      </c>
      <c r="AA6" s="5">
        <v>8</v>
      </c>
      <c r="AB6" s="135">
        <f t="shared" ref="AB6:AB14" si="27">SUM(W6:AA6)</f>
        <v>125</v>
      </c>
      <c r="AE6" s="19">
        <f t="shared" ref="AE6:AE14" si="28">SUM(X6:AA6)</f>
        <v>21</v>
      </c>
      <c r="AH6" s="23" t="str">
        <f t="shared" si="3"/>
        <v>Tactically Perfect Racing</v>
      </c>
      <c r="AI6" s="5">
        <f t="shared" ref="AI6:AI14" si="29">X6</f>
        <v>7</v>
      </c>
      <c r="AJ6" s="5">
        <f t="shared" ref="AJ6:AJ14" si="30">Y6</f>
        <v>3</v>
      </c>
      <c r="AK6" s="5">
        <f t="shared" ref="AK6:AK12" si="31">SUM(Z6:AA6)</f>
        <v>11</v>
      </c>
      <c r="AL6" s="5">
        <f t="shared" ref="AL6:AL12" si="32">AY6</f>
        <v>133</v>
      </c>
      <c r="AM6" s="5">
        <f t="shared" ref="AM6:AM14" si="33">IF(C6 &lt;&gt; "", VLOOKUP(C6, chassisStatsNew, 2, FALSE), 0)</f>
        <v>97</v>
      </c>
      <c r="AN6" s="5">
        <f t="shared" si="4"/>
        <v>115</v>
      </c>
      <c r="AO6" s="5">
        <f t="shared" si="5"/>
        <v>217</v>
      </c>
      <c r="AP6" s="5">
        <f t="shared" si="6"/>
        <v>106</v>
      </c>
      <c r="AQ6" s="135">
        <f t="shared" ref="AQ6:AQ12" si="34">SUM(AI6:AP6)</f>
        <v>689</v>
      </c>
      <c r="AT6" s="23" t="str">
        <f t="shared" si="7"/>
        <v>Tactically Perfect Racing</v>
      </c>
      <c r="AU6" s="5">
        <v>33</v>
      </c>
      <c r="AV6" s="5">
        <v>33</v>
      </c>
      <c r="AW6" s="5">
        <v>43</v>
      </c>
      <c r="AX6" s="5">
        <v>24</v>
      </c>
      <c r="AY6" s="135">
        <f t="shared" ref="AY6:AY12" si="35">SUM(AU6:AX6)</f>
        <v>133</v>
      </c>
      <c r="BB6" s="54" t="s">
        <v>439</v>
      </c>
      <c r="BC6" s="5">
        <v>97</v>
      </c>
      <c r="BD6" s="5">
        <v>59</v>
      </c>
      <c r="BE6" s="5">
        <v>58</v>
      </c>
      <c r="BF6" s="135">
        <f>SUM(BC6:BE6)</f>
        <v>214</v>
      </c>
      <c r="BG6" s="5">
        <v>2</v>
      </c>
      <c r="BH6" s="5">
        <v>72</v>
      </c>
      <c r="BK6" s="19" t="s">
        <v>439</v>
      </c>
      <c r="BL6" s="113">
        <f>BC6</f>
        <v>97</v>
      </c>
      <c r="BM6" s="19">
        <f>SUM(BD6:BE6)</f>
        <v>117</v>
      </c>
      <c r="BP6" s="59" t="s">
        <v>7</v>
      </c>
      <c r="BQ6" s="5">
        <v>111</v>
      </c>
      <c r="BR6" s="5">
        <v>108</v>
      </c>
      <c r="BS6" s="135">
        <f>SUM(BQ6:BR6)</f>
        <v>219</v>
      </c>
      <c r="BT6" s="5">
        <v>74</v>
      </c>
      <c r="BW6" s="57" t="s">
        <v>13</v>
      </c>
      <c r="BX6" s="135">
        <v>106</v>
      </c>
      <c r="BY6" s="5">
        <v>1</v>
      </c>
      <c r="CB6" s="23" t="str">
        <f>IF(Lineups!B26 &lt;&gt; "", Lineups!B26, "")</f>
        <v>Colton Herta</v>
      </c>
      <c r="CC6" s="5">
        <f t="shared" si="8"/>
        <v>100</v>
      </c>
      <c r="CD6" s="5">
        <f t="shared" si="9"/>
        <v>1</v>
      </c>
      <c r="CE6" s="5">
        <f t="shared" si="10"/>
        <v>1</v>
      </c>
      <c r="CG6" s="23" t="str">
        <f>IF(Lineups!B27 &lt;&gt; "", Lineups!B27, "")</f>
        <v>George Russell</v>
      </c>
      <c r="CH6" s="5">
        <f t="shared" si="11"/>
        <v>100</v>
      </c>
      <c r="CI6" s="5">
        <f t="shared" si="12"/>
        <v>1</v>
      </c>
      <c r="CJ6" s="5">
        <f t="shared" si="13"/>
        <v>1</v>
      </c>
      <c r="CL6" s="23" t="str">
        <f>IF(Lineups!B28 &lt;&gt; "", Lineups!B28, "")</f>
        <v>Theo Pourchaire</v>
      </c>
      <c r="CM6" s="5">
        <f t="shared" si="14"/>
        <v>99</v>
      </c>
      <c r="CN6" s="5">
        <f t="shared" si="15"/>
        <v>2</v>
      </c>
      <c r="CO6" s="5">
        <f t="shared" si="16"/>
        <v>2</v>
      </c>
      <c r="CR6" s="23"/>
      <c r="CS6" s="5">
        <f t="shared" si="17"/>
        <v>0</v>
      </c>
      <c r="CT6" s="5" t="str">
        <f t="shared" si="18"/>
        <v/>
      </c>
      <c r="CU6" s="5" t="str">
        <f t="shared" si="19"/>
        <v/>
      </c>
      <c r="CW6" s="23" t="str">
        <f>IF(Lineups!B29 &lt;&gt; "", Lineups!B29, "")</f>
        <v>Gabriel Bortoleto</v>
      </c>
      <c r="CX6" s="5">
        <f t="shared" si="20"/>
        <v>98</v>
      </c>
      <c r="CY6" s="5">
        <f t="shared" si="21"/>
        <v>1</v>
      </c>
      <c r="CZ6" s="5">
        <f t="shared" si="22"/>
        <v>4</v>
      </c>
    </row>
    <row r="7" spans="2:104" ht="16.8" customHeight="1" x14ac:dyDescent="0.3">
      <c r="B7" s="24" t="str">
        <f>IF(Start!B7 &lt;&gt; "", Start!B7, "")</f>
        <v>Super Corby Racing</v>
      </c>
      <c r="C7" s="5" t="str">
        <f>IF(Start!C7 &lt;&gt; "", Start!C7, "")</f>
        <v>Tatuus</v>
      </c>
      <c r="D7" s="5" t="str">
        <f>IF(Start!D7 &lt;&gt; "", Start!D7, "")</f>
        <v>Porsche</v>
      </c>
      <c r="E7" s="5" t="str">
        <f>IF(Start!E7 &lt;&gt; "", Start!E7, "")</f>
        <v>Michelin</v>
      </c>
      <c r="H7" s="135">
        <f t="shared" si="23"/>
        <v>691</v>
      </c>
      <c r="I7" s="135">
        <f t="shared" si="24"/>
        <v>99</v>
      </c>
      <c r="J7" s="135">
        <f>ROUND((CC7 + CH7 + CM7 + CM8) / 4, 1)</f>
        <v>99</v>
      </c>
      <c r="K7" s="135">
        <f t="shared" si="26"/>
        <v>790</v>
      </c>
      <c r="N7" s="5">
        <v>12</v>
      </c>
      <c r="Q7" s="5">
        <f t="shared" si="0"/>
        <v>2</v>
      </c>
      <c r="R7" s="5">
        <v>2</v>
      </c>
      <c r="S7" s="135">
        <f t="shared" si="1"/>
        <v>4</v>
      </c>
      <c r="V7" s="24" t="str">
        <f t="shared" si="2"/>
        <v>Super Corby Racing</v>
      </c>
      <c r="W7" s="5">
        <v>99</v>
      </c>
      <c r="X7" s="5">
        <v>5</v>
      </c>
      <c r="Y7" s="5">
        <v>8</v>
      </c>
      <c r="Z7" s="5">
        <v>7</v>
      </c>
      <c r="AA7" s="5">
        <v>3</v>
      </c>
      <c r="AB7" s="135">
        <f t="shared" si="27"/>
        <v>122</v>
      </c>
      <c r="AE7" s="19">
        <f t="shared" si="28"/>
        <v>23</v>
      </c>
      <c r="AH7" s="24" t="str">
        <f t="shared" si="3"/>
        <v>Super Corby Racing</v>
      </c>
      <c r="AI7" s="5">
        <f t="shared" si="29"/>
        <v>5</v>
      </c>
      <c r="AJ7" s="5">
        <f t="shared" si="30"/>
        <v>8</v>
      </c>
      <c r="AK7" s="5">
        <f t="shared" si="31"/>
        <v>10</v>
      </c>
      <c r="AL7" s="5">
        <f t="shared" si="32"/>
        <v>133</v>
      </c>
      <c r="AM7" s="5">
        <f t="shared" si="33"/>
        <v>97</v>
      </c>
      <c r="AN7" s="5">
        <f t="shared" si="4"/>
        <v>115</v>
      </c>
      <c r="AO7" s="5">
        <f t="shared" si="5"/>
        <v>217</v>
      </c>
      <c r="AP7" s="5">
        <f t="shared" si="6"/>
        <v>106</v>
      </c>
      <c r="AQ7" s="135">
        <f t="shared" si="34"/>
        <v>691</v>
      </c>
      <c r="AT7" s="24" t="str">
        <f t="shared" si="7"/>
        <v>Super Corby Racing</v>
      </c>
      <c r="AU7" s="5">
        <v>33</v>
      </c>
      <c r="AV7" s="5">
        <v>29</v>
      </c>
      <c r="AW7" s="5">
        <v>43</v>
      </c>
      <c r="AX7" s="5">
        <v>28</v>
      </c>
      <c r="AY7" s="135">
        <f t="shared" si="35"/>
        <v>133</v>
      </c>
      <c r="BB7" s="52" t="s">
        <v>5</v>
      </c>
      <c r="BC7" s="5">
        <v>98</v>
      </c>
      <c r="BD7" s="5">
        <v>55</v>
      </c>
      <c r="BE7" s="5">
        <v>58</v>
      </c>
      <c r="BF7" s="135">
        <f>SUM(BC7:BE7)</f>
        <v>211</v>
      </c>
      <c r="BG7" s="5">
        <v>2</v>
      </c>
      <c r="BH7" s="5">
        <v>74</v>
      </c>
      <c r="BK7" s="19" t="s">
        <v>5</v>
      </c>
      <c r="BL7" s="19">
        <f>BC7</f>
        <v>98</v>
      </c>
      <c r="BM7" s="19">
        <f>SUM(BD7:BE7)</f>
        <v>113</v>
      </c>
      <c r="BP7" s="60" t="s">
        <v>10</v>
      </c>
      <c r="BQ7" s="5">
        <v>108</v>
      </c>
      <c r="BR7" s="5">
        <v>109</v>
      </c>
      <c r="BS7" s="135">
        <f>SUM(BQ7:BR7)</f>
        <v>217</v>
      </c>
      <c r="BT7" s="5">
        <v>72</v>
      </c>
      <c r="BW7" s="54" t="s">
        <v>12</v>
      </c>
      <c r="BX7" s="135">
        <v>106</v>
      </c>
      <c r="BY7" s="5">
        <v>1</v>
      </c>
      <c r="CB7" s="24" t="str">
        <f>IF(Lineups!B17 &lt;&gt; "", Lineups!B17, "")</f>
        <v>Lando Norris</v>
      </c>
      <c r="CC7" s="5">
        <f t="shared" si="8"/>
        <v>100</v>
      </c>
      <c r="CD7" s="5">
        <f t="shared" si="9"/>
        <v>1</v>
      </c>
      <c r="CE7" s="5">
        <f t="shared" si="10"/>
        <v>1</v>
      </c>
      <c r="CG7" s="24" t="str">
        <f>IF(Lineups!B18 &lt;&gt; "", Lineups!B18, "")</f>
        <v>David Malukas</v>
      </c>
      <c r="CH7" s="5">
        <f t="shared" si="11"/>
        <v>100</v>
      </c>
      <c r="CI7" s="5">
        <f t="shared" si="12"/>
        <v>1</v>
      </c>
      <c r="CJ7" s="5">
        <f t="shared" si="13"/>
        <v>1</v>
      </c>
      <c r="CL7" s="24" t="str">
        <f>IF(Lineups!B19 &lt;&gt; "", Lineups!B19, "")</f>
        <v>Oscar Piastri</v>
      </c>
      <c r="CM7" s="5">
        <f t="shared" si="14"/>
        <v>100</v>
      </c>
      <c r="CN7" s="5">
        <f t="shared" si="15"/>
        <v>1</v>
      </c>
      <c r="CO7" s="5">
        <f t="shared" si="16"/>
        <v>1</v>
      </c>
      <c r="CR7" s="24" t="str">
        <f>IF(Lineups!B20 &lt;&gt; "", Lineups!B20, "")</f>
        <v>Pato O'Ward</v>
      </c>
      <c r="CS7" s="5">
        <f t="shared" si="17"/>
        <v>100</v>
      </c>
      <c r="CT7" s="5">
        <f t="shared" si="18"/>
        <v>2</v>
      </c>
      <c r="CU7" s="5">
        <f t="shared" si="19"/>
        <v>1</v>
      </c>
      <c r="CW7" s="24" t="str">
        <f>IF(Lineups!B21 &lt;&gt; "", Lineups!B21, "")</f>
        <v>Alex Dunne</v>
      </c>
      <c r="CX7" s="5">
        <f t="shared" si="20"/>
        <v>97</v>
      </c>
      <c r="CY7" s="5">
        <f t="shared" si="21"/>
        <v>4</v>
      </c>
      <c r="CZ7" s="5">
        <f t="shared" si="22"/>
        <v>2</v>
      </c>
    </row>
    <row r="8" spans="2:104" ht="16.8" customHeight="1" x14ac:dyDescent="0.3">
      <c r="B8" s="134" t="str">
        <f>IF(Start!B8 &lt;&gt; "", Start!B8, "")</f>
        <v>Blue Flag Racing</v>
      </c>
      <c r="C8" s="5" t="str">
        <f>IF(Start!C8 &lt;&gt; "", Start!C8, "")</f>
        <v>Reynard</v>
      </c>
      <c r="D8" s="5" t="str">
        <f>IF(Start!D8 &lt;&gt; "", Start!D8, "")</f>
        <v>Honda</v>
      </c>
      <c r="E8" s="5" t="str">
        <f>IF(Start!E8 &lt;&gt; "", Start!E8, "")</f>
        <v>Firestone</v>
      </c>
      <c r="H8" s="135">
        <f t="shared" si="23"/>
        <v>699</v>
      </c>
      <c r="I8" s="135">
        <f t="shared" si="24"/>
        <v>102</v>
      </c>
      <c r="J8" s="135">
        <f t="shared" si="25"/>
        <v>97.7</v>
      </c>
      <c r="K8" s="135">
        <f t="shared" si="26"/>
        <v>801</v>
      </c>
      <c r="N8" s="5">
        <v>14</v>
      </c>
      <c r="Q8" s="5">
        <f t="shared" si="0"/>
        <v>3</v>
      </c>
      <c r="R8" s="5">
        <v>3</v>
      </c>
      <c r="S8" s="135">
        <f t="shared" si="1"/>
        <v>6</v>
      </c>
      <c r="V8" s="134" t="str">
        <f t="shared" si="2"/>
        <v>Blue Flag Racing</v>
      </c>
      <c r="W8" s="5">
        <v>102</v>
      </c>
      <c r="X8" s="5">
        <v>9</v>
      </c>
      <c r="Y8" s="5">
        <v>8</v>
      </c>
      <c r="Z8" s="5">
        <v>5</v>
      </c>
      <c r="AA8" s="5">
        <v>5</v>
      </c>
      <c r="AB8" s="135">
        <f t="shared" si="27"/>
        <v>129</v>
      </c>
      <c r="AE8" s="19">
        <f t="shared" si="28"/>
        <v>27</v>
      </c>
      <c r="AH8" s="134" t="str">
        <f t="shared" si="3"/>
        <v>Blue Flag Racing</v>
      </c>
      <c r="AI8" s="5">
        <f t="shared" si="29"/>
        <v>9</v>
      </c>
      <c r="AJ8" s="5">
        <f t="shared" si="30"/>
        <v>8</v>
      </c>
      <c r="AK8" s="5">
        <f t="shared" si="31"/>
        <v>10</v>
      </c>
      <c r="AL8" s="5">
        <f t="shared" si="32"/>
        <v>135</v>
      </c>
      <c r="AM8" s="5">
        <f t="shared" si="33"/>
        <v>98</v>
      </c>
      <c r="AN8" s="5">
        <f t="shared" si="4"/>
        <v>113</v>
      </c>
      <c r="AO8" s="5">
        <f t="shared" si="5"/>
        <v>219</v>
      </c>
      <c r="AP8" s="5">
        <f t="shared" si="6"/>
        <v>107</v>
      </c>
      <c r="AQ8" s="135">
        <f t="shared" si="34"/>
        <v>699</v>
      </c>
      <c r="AT8" s="134" t="str">
        <f t="shared" si="7"/>
        <v>Blue Flag Racing</v>
      </c>
      <c r="AU8" s="5">
        <v>32</v>
      </c>
      <c r="AV8" s="5">
        <v>32</v>
      </c>
      <c r="AW8" s="5">
        <v>43</v>
      </c>
      <c r="AX8" s="5">
        <v>28</v>
      </c>
      <c r="AY8" s="135">
        <f t="shared" si="35"/>
        <v>135</v>
      </c>
      <c r="BB8" s="58" t="s">
        <v>6</v>
      </c>
      <c r="BC8" s="5">
        <v>97</v>
      </c>
      <c r="BD8" s="5">
        <v>59</v>
      </c>
      <c r="BE8" s="5">
        <v>56</v>
      </c>
      <c r="BF8" s="135">
        <f>SUM(BC8:BE8)</f>
        <v>212</v>
      </c>
      <c r="BG8" s="5">
        <v>1</v>
      </c>
      <c r="BH8" s="5">
        <v>72</v>
      </c>
      <c r="BK8" s="19" t="s">
        <v>6</v>
      </c>
      <c r="BL8" s="19">
        <f>BC8</f>
        <v>97</v>
      </c>
      <c r="BM8" s="19">
        <f>SUM(BD8:BE8)</f>
        <v>115</v>
      </c>
      <c r="BP8" s="53" t="s">
        <v>9</v>
      </c>
      <c r="BQ8" s="5">
        <v>107</v>
      </c>
      <c r="BR8" s="5">
        <v>108</v>
      </c>
      <c r="BS8" s="135">
        <f>SUM(BQ8:BR8)</f>
        <v>215</v>
      </c>
      <c r="BT8" s="5">
        <v>74</v>
      </c>
      <c r="CB8" s="134" t="str">
        <f>IF(Lineups!B5 &lt;&gt; "", Lineups!B5, "")</f>
        <v>Kimi Antonelli</v>
      </c>
      <c r="CC8" s="5">
        <f t="shared" si="8"/>
        <v>100</v>
      </c>
      <c r="CD8" s="5">
        <f t="shared" si="9"/>
        <v>2</v>
      </c>
      <c r="CE8" s="5">
        <f t="shared" si="10"/>
        <v>1</v>
      </c>
      <c r="CG8" s="134" t="str">
        <f>IF(Lineups!B6 &lt;&gt; "", Lineups!B6, "")</f>
        <v>Arvid Lindblad</v>
      </c>
      <c r="CH8" s="5">
        <f t="shared" si="11"/>
        <v>97</v>
      </c>
      <c r="CI8" s="5">
        <f t="shared" si="12"/>
        <v>2</v>
      </c>
      <c r="CJ8" s="5">
        <f t="shared" si="13"/>
        <v>2</v>
      </c>
      <c r="CL8" s="134" t="str">
        <f>IF(Lineups!B7 &lt;&gt; "", Lineups!B7, "")</f>
        <v>Dino Beganovic</v>
      </c>
      <c r="CM8" s="5">
        <f t="shared" si="14"/>
        <v>96</v>
      </c>
      <c r="CN8" s="5">
        <f t="shared" si="15"/>
        <v>2</v>
      </c>
      <c r="CO8" s="5">
        <f t="shared" si="16"/>
        <v>2</v>
      </c>
      <c r="CR8" s="134"/>
      <c r="CS8" s="5">
        <f t="shared" si="17"/>
        <v>0</v>
      </c>
      <c r="CT8" s="5" t="str">
        <f t="shared" si="18"/>
        <v/>
      </c>
      <c r="CU8" s="5" t="str">
        <f t="shared" si="19"/>
        <v/>
      </c>
      <c r="CW8" s="134" t="str">
        <f>IF(Lineups!B8 &lt;&gt; "", Lineups!B8, "")</f>
        <v>Isack Hadjar</v>
      </c>
      <c r="CX8" s="5">
        <f t="shared" si="20"/>
        <v>99</v>
      </c>
      <c r="CY8" s="5">
        <f t="shared" si="21"/>
        <v>1</v>
      </c>
      <c r="CZ8" s="5">
        <f t="shared" si="22"/>
        <v>3</v>
      </c>
    </row>
    <row r="9" spans="2:104" ht="16.8" customHeight="1" x14ac:dyDescent="0.3">
      <c r="B9" s="142" t="str">
        <f>IF(Start!B9 &lt;&gt; "", Start!B9, "")</f>
        <v>98-99 Racing</v>
      </c>
      <c r="C9" s="5" t="str">
        <f>IF(Start!C9 &lt;&gt; "", Start!C9, "")</f>
        <v>March</v>
      </c>
      <c r="D9" s="5" t="str">
        <f>IF(Start!D9 &lt;&gt; "", Start!D9, "")</f>
        <v>Porsche</v>
      </c>
      <c r="E9" s="5" t="str">
        <f>IF(Start!E9 &lt;&gt; "", Start!E9, "")</f>
        <v>Pirelli</v>
      </c>
      <c r="H9" s="135">
        <f t="shared" si="23"/>
        <v>694</v>
      </c>
      <c r="I9" s="135">
        <f t="shared" si="24"/>
        <v>98</v>
      </c>
      <c r="J9" s="135">
        <f t="shared" si="25"/>
        <v>99</v>
      </c>
      <c r="K9" s="135">
        <f t="shared" si="26"/>
        <v>792</v>
      </c>
      <c r="N9" s="5">
        <f ca="1">RANDBETWEEN(12, 15)</f>
        <v>15</v>
      </c>
      <c r="Q9" s="5">
        <f t="shared" si="0"/>
        <v>3</v>
      </c>
      <c r="R9" s="5">
        <v>3</v>
      </c>
      <c r="S9" s="135">
        <f t="shared" si="1"/>
        <v>6</v>
      </c>
      <c r="V9" s="142" t="str">
        <f t="shared" si="2"/>
        <v>98-99 Racing</v>
      </c>
      <c r="W9" s="5">
        <v>98</v>
      </c>
      <c r="X9" s="5">
        <v>6</v>
      </c>
      <c r="Y9" s="5">
        <v>4</v>
      </c>
      <c r="Z9" s="5">
        <v>7</v>
      </c>
      <c r="AA9" s="5">
        <v>7</v>
      </c>
      <c r="AB9" s="135">
        <f t="shared" si="27"/>
        <v>122</v>
      </c>
      <c r="AE9" s="19">
        <f t="shared" si="28"/>
        <v>24</v>
      </c>
      <c r="AH9" s="142" t="str">
        <f t="shared" si="3"/>
        <v>98-99 Racing</v>
      </c>
      <c r="AI9" s="5">
        <f t="shared" si="29"/>
        <v>6</v>
      </c>
      <c r="AJ9" s="5">
        <f t="shared" si="30"/>
        <v>4</v>
      </c>
      <c r="AK9" s="5">
        <f t="shared" si="31"/>
        <v>14</v>
      </c>
      <c r="AL9" s="5">
        <f t="shared" si="32"/>
        <v>133</v>
      </c>
      <c r="AM9" s="5">
        <f t="shared" si="33"/>
        <v>97</v>
      </c>
      <c r="AN9" s="5">
        <f t="shared" si="4"/>
        <v>117</v>
      </c>
      <c r="AO9" s="5">
        <f t="shared" si="5"/>
        <v>217</v>
      </c>
      <c r="AP9" s="5">
        <f t="shared" si="6"/>
        <v>106</v>
      </c>
      <c r="AQ9" s="135">
        <f t="shared" si="34"/>
        <v>694</v>
      </c>
      <c r="AT9" s="142" t="str">
        <f t="shared" si="7"/>
        <v>98-99 Racing</v>
      </c>
      <c r="AU9" s="5">
        <v>31</v>
      </c>
      <c r="AV9" s="5">
        <v>32</v>
      </c>
      <c r="AW9" s="5">
        <v>44</v>
      </c>
      <c r="AX9" s="5">
        <v>26</v>
      </c>
      <c r="AY9" s="135">
        <f t="shared" si="35"/>
        <v>133</v>
      </c>
      <c r="CB9" s="142" t="str">
        <f>IF(Lineups!B30 &lt;&gt; "", Lineups!B30, "")</f>
        <v>Yuki Tsunoda</v>
      </c>
      <c r="CC9" s="5">
        <f t="shared" si="8"/>
        <v>100</v>
      </c>
      <c r="CD9" s="5">
        <f t="shared" si="9"/>
        <v>1</v>
      </c>
      <c r="CE9" s="5">
        <f t="shared" si="10"/>
        <v>2</v>
      </c>
      <c r="CG9" s="142" t="str">
        <f>IF(Lineups!B31 &lt;&gt; "", Lineups!B31, "")</f>
        <v>Ayumu Iwasa</v>
      </c>
      <c r="CH9" s="5">
        <f t="shared" si="11"/>
        <v>99</v>
      </c>
      <c r="CI9" s="5">
        <f t="shared" si="12"/>
        <v>1</v>
      </c>
      <c r="CJ9" s="5">
        <f t="shared" si="13"/>
        <v>2</v>
      </c>
      <c r="CL9" s="142" t="str">
        <f>IF(Lineups!B32 &lt;&gt; "", Lineups!B32, "")</f>
        <v>Kyffin Simpson</v>
      </c>
      <c r="CM9" s="5">
        <f t="shared" si="14"/>
        <v>98</v>
      </c>
      <c r="CN9" s="5">
        <f t="shared" si="15"/>
        <v>2</v>
      </c>
      <c r="CO9" s="5">
        <f t="shared" si="16"/>
        <v>3</v>
      </c>
      <c r="CR9" s="142"/>
      <c r="CS9" s="5">
        <f t="shared" si="17"/>
        <v>0</v>
      </c>
      <c r="CT9" s="5" t="str">
        <f t="shared" si="18"/>
        <v/>
      </c>
      <c r="CU9" s="5" t="str">
        <f t="shared" si="19"/>
        <v/>
      </c>
      <c r="CW9" s="142" t="str">
        <f>IF(Lineups!B33 &lt;&gt; "", Lineups!B33, "")</f>
        <v>Sacha Fenestraz</v>
      </c>
      <c r="CX9" s="5">
        <f t="shared" si="20"/>
        <v>98</v>
      </c>
      <c r="CY9" s="5">
        <f t="shared" si="21"/>
        <v>2</v>
      </c>
      <c r="CZ9" s="5">
        <f t="shared" si="22"/>
        <v>2</v>
      </c>
    </row>
    <row r="10" spans="2:104" ht="16.8" customHeight="1" x14ac:dyDescent="0.3">
      <c r="B10" s="25" t="str">
        <f>IF(Start!B10 &lt;&gt; "", Start!B10, "")</f>
        <v>Project D Racing</v>
      </c>
      <c r="C10" s="5" t="str">
        <f>IF(Start!C10 &lt;&gt; "", Start!C10, "")</f>
        <v>Reynard</v>
      </c>
      <c r="D10" s="5" t="str">
        <f>IF(Start!D10 &lt;&gt; "", Start!D10, "")</f>
        <v>Toyota</v>
      </c>
      <c r="E10" s="5" t="str">
        <f>IF(Start!E10 &lt;&gt; "", Start!E10, "")</f>
        <v>Michelin</v>
      </c>
      <c r="H10" s="135">
        <f t="shared" si="23"/>
        <v>685</v>
      </c>
      <c r="I10" s="135">
        <f t="shared" si="24"/>
        <v>102</v>
      </c>
      <c r="J10" s="135">
        <f t="shared" si="25"/>
        <v>99</v>
      </c>
      <c r="K10" s="135">
        <f t="shared" si="26"/>
        <v>787</v>
      </c>
      <c r="N10" s="5">
        <v>15</v>
      </c>
      <c r="Q10" s="5">
        <f t="shared" si="0"/>
        <v>3</v>
      </c>
      <c r="R10" s="5">
        <v>2</v>
      </c>
      <c r="S10" s="135">
        <f t="shared" si="1"/>
        <v>5</v>
      </c>
      <c r="V10" s="25" t="str">
        <f t="shared" si="2"/>
        <v>Project D Racing</v>
      </c>
      <c r="W10" s="5">
        <v>102</v>
      </c>
      <c r="X10" s="5">
        <v>2</v>
      </c>
      <c r="Y10" s="5">
        <v>7</v>
      </c>
      <c r="Z10" s="5">
        <v>8</v>
      </c>
      <c r="AA10" s="5">
        <v>3</v>
      </c>
      <c r="AB10" s="135">
        <f t="shared" si="27"/>
        <v>122</v>
      </c>
      <c r="AE10" s="19">
        <f t="shared" si="28"/>
        <v>20</v>
      </c>
      <c r="AH10" s="25" t="str">
        <f t="shared" si="3"/>
        <v>Project D Racing</v>
      </c>
      <c r="AI10" s="5">
        <f t="shared" si="29"/>
        <v>2</v>
      </c>
      <c r="AJ10" s="5">
        <f t="shared" si="30"/>
        <v>7</v>
      </c>
      <c r="AK10" s="5">
        <f t="shared" si="31"/>
        <v>11</v>
      </c>
      <c r="AL10" s="5">
        <f t="shared" si="32"/>
        <v>133</v>
      </c>
      <c r="AM10" s="5">
        <f t="shared" si="33"/>
        <v>98</v>
      </c>
      <c r="AN10" s="5">
        <f t="shared" si="4"/>
        <v>113</v>
      </c>
      <c r="AO10" s="5">
        <f t="shared" si="5"/>
        <v>215</v>
      </c>
      <c r="AP10" s="5">
        <f t="shared" si="6"/>
        <v>106</v>
      </c>
      <c r="AQ10" s="135">
        <f t="shared" si="34"/>
        <v>685</v>
      </c>
      <c r="AT10" s="25" t="str">
        <f t="shared" si="7"/>
        <v>Project D Racing</v>
      </c>
      <c r="AU10" s="5">
        <v>31</v>
      </c>
      <c r="AV10" s="5">
        <v>30</v>
      </c>
      <c r="AW10" s="5">
        <v>44</v>
      </c>
      <c r="AX10" s="5">
        <v>28</v>
      </c>
      <c r="AY10" s="135">
        <f t="shared" si="35"/>
        <v>133</v>
      </c>
      <c r="CB10" s="25" t="str">
        <f>IF(Lineups!B38 &lt;&gt; "", Lineups!B38, "")</f>
        <v>Callum Ilott</v>
      </c>
      <c r="CC10" s="5">
        <f t="shared" si="8"/>
        <v>100</v>
      </c>
      <c r="CD10" s="5">
        <f t="shared" si="9"/>
        <v>2</v>
      </c>
      <c r="CE10" s="5">
        <f t="shared" si="10"/>
        <v>1</v>
      </c>
      <c r="CG10" s="25" t="str">
        <f>IF(Lineups!B39 &lt;&gt; "", Lineups!B39, "")</f>
        <v>Ritomo Miyata</v>
      </c>
      <c r="CH10" s="5">
        <f t="shared" si="11"/>
        <v>99</v>
      </c>
      <c r="CI10" s="5">
        <f t="shared" si="12"/>
        <v>1</v>
      </c>
      <c r="CJ10" s="5">
        <f t="shared" si="13"/>
        <v>1</v>
      </c>
      <c r="CL10" s="25" t="str">
        <f>IF(Lineups!B40 &lt;&gt; "", Lineups!B40, "")</f>
        <v>Hunter McElrea</v>
      </c>
      <c r="CM10" s="5">
        <f t="shared" si="14"/>
        <v>98</v>
      </c>
      <c r="CN10" s="5">
        <f t="shared" si="15"/>
        <v>2</v>
      </c>
      <c r="CO10" s="5">
        <f t="shared" si="16"/>
        <v>2</v>
      </c>
      <c r="CR10" s="25"/>
      <c r="CS10" s="5">
        <f t="shared" si="17"/>
        <v>0</v>
      </c>
      <c r="CT10" s="5" t="str">
        <f t="shared" si="18"/>
        <v/>
      </c>
      <c r="CU10" s="5" t="str">
        <f t="shared" si="19"/>
        <v/>
      </c>
      <c r="CW10" s="25" t="str">
        <f>IF(Lineups!B41 &lt;&gt; "", Lineups!B41, "")</f>
        <v>Marcus Armstrong</v>
      </c>
      <c r="CX10" s="5">
        <f t="shared" si="20"/>
        <v>99</v>
      </c>
      <c r="CY10" s="5">
        <f t="shared" si="21"/>
        <v>2</v>
      </c>
      <c r="CZ10" s="5">
        <f t="shared" si="22"/>
        <v>2</v>
      </c>
    </row>
    <row r="11" spans="2:104" ht="16.8" customHeight="1" x14ac:dyDescent="0.3">
      <c r="B11" s="26" t="s">
        <v>554</v>
      </c>
      <c r="C11" s="5" t="str">
        <f>IF(Start!C11 &lt;&gt; "", Start!C11, "")</f>
        <v>March</v>
      </c>
      <c r="D11" s="5" t="str">
        <f>IF(Start!D11 &lt;&gt; "", Start!D11, "")</f>
        <v>Honda</v>
      </c>
      <c r="E11" s="5" t="str">
        <f>IF(Start!E11 &lt;&gt; "", Start!E11, "")</f>
        <v>Firestone</v>
      </c>
      <c r="H11" s="135">
        <f t="shared" si="23"/>
        <v>700</v>
      </c>
      <c r="I11" s="135">
        <f t="shared" si="24"/>
        <v>104</v>
      </c>
      <c r="J11" s="135">
        <f t="shared" si="25"/>
        <v>98.3</v>
      </c>
      <c r="K11" s="135">
        <f t="shared" si="26"/>
        <v>804</v>
      </c>
      <c r="N11" s="5">
        <v>12</v>
      </c>
      <c r="Q11" s="5">
        <f t="shared" si="0"/>
        <v>3</v>
      </c>
      <c r="R11" s="5">
        <v>2</v>
      </c>
      <c r="S11" s="135">
        <f t="shared" si="1"/>
        <v>5</v>
      </c>
      <c r="V11" s="26" t="s">
        <v>554</v>
      </c>
      <c r="W11" s="5">
        <v>104</v>
      </c>
      <c r="X11" s="5">
        <v>6</v>
      </c>
      <c r="Y11" s="5">
        <v>9</v>
      </c>
      <c r="Z11" s="5">
        <v>5</v>
      </c>
      <c r="AA11" s="5">
        <v>7</v>
      </c>
      <c r="AB11" s="135">
        <f t="shared" si="27"/>
        <v>131</v>
      </c>
      <c r="AE11" s="19">
        <f t="shared" si="28"/>
        <v>27</v>
      </c>
      <c r="AH11" s="26" t="s">
        <v>554</v>
      </c>
      <c r="AI11" s="5">
        <f t="shared" si="29"/>
        <v>6</v>
      </c>
      <c r="AJ11" s="5">
        <f t="shared" si="30"/>
        <v>9</v>
      </c>
      <c r="AK11" s="5">
        <f t="shared" si="31"/>
        <v>12</v>
      </c>
      <c r="AL11" s="5">
        <f t="shared" si="32"/>
        <v>133</v>
      </c>
      <c r="AM11" s="5">
        <f t="shared" si="33"/>
        <v>97</v>
      </c>
      <c r="AN11" s="5">
        <f t="shared" si="4"/>
        <v>117</v>
      </c>
      <c r="AO11" s="5">
        <f t="shared" si="5"/>
        <v>219</v>
      </c>
      <c r="AP11" s="5">
        <f t="shared" si="6"/>
        <v>107</v>
      </c>
      <c r="AQ11" s="135">
        <f t="shared" si="34"/>
        <v>700</v>
      </c>
      <c r="AT11" s="26" t="s">
        <v>554</v>
      </c>
      <c r="AU11" s="5">
        <v>31</v>
      </c>
      <c r="AV11" s="5">
        <v>32</v>
      </c>
      <c r="AW11" s="5">
        <v>44</v>
      </c>
      <c r="AX11" s="5">
        <v>26</v>
      </c>
      <c r="AY11" s="135">
        <f t="shared" si="35"/>
        <v>133</v>
      </c>
      <c r="CB11" s="26" t="str">
        <f>IF(Lineups!B9 &lt;&gt; "", Lineups!B9, "")</f>
        <v>Jamie Chadwick</v>
      </c>
      <c r="CC11" s="5">
        <f t="shared" si="8"/>
        <v>99</v>
      </c>
      <c r="CD11" s="5">
        <f t="shared" si="9"/>
        <v>3</v>
      </c>
      <c r="CE11" s="5">
        <f t="shared" si="10"/>
        <v>2</v>
      </c>
      <c r="CG11" s="26" t="str">
        <f>IF(Lineups!B10 &lt;&gt; "", Lineups!B10, "")</f>
        <v>Chloe Chambers</v>
      </c>
      <c r="CH11" s="5">
        <f t="shared" si="11"/>
        <v>99</v>
      </c>
      <c r="CI11" s="5">
        <f t="shared" si="12"/>
        <v>1</v>
      </c>
      <c r="CJ11" s="5">
        <f t="shared" si="13"/>
        <v>2</v>
      </c>
      <c r="CL11" s="26" t="str">
        <f>IF(Lineups!B11 &lt;&gt; "", Lineups!B11, "")</f>
        <v>Aurelia Nobels</v>
      </c>
      <c r="CM11" s="5">
        <f t="shared" si="14"/>
        <v>97</v>
      </c>
      <c r="CN11" s="5">
        <f t="shared" si="15"/>
        <v>2</v>
      </c>
      <c r="CO11" s="5">
        <f t="shared" si="16"/>
        <v>3</v>
      </c>
      <c r="CR11" s="26"/>
      <c r="CS11" s="5">
        <f t="shared" si="17"/>
        <v>0</v>
      </c>
      <c r="CT11" s="5" t="str">
        <f t="shared" si="18"/>
        <v/>
      </c>
      <c r="CU11" s="5" t="str">
        <f t="shared" si="19"/>
        <v/>
      </c>
      <c r="CW11" s="26" t="str">
        <f>IF(Lineups!B12 &lt;&gt; "", Lineups!B12, "")</f>
        <v>Maya Weug</v>
      </c>
      <c r="CX11" s="5">
        <f t="shared" si="20"/>
        <v>98</v>
      </c>
      <c r="CY11" s="5">
        <f t="shared" si="21"/>
        <v>2</v>
      </c>
      <c r="CZ11" s="5">
        <f t="shared" si="22"/>
        <v>3</v>
      </c>
    </row>
    <row r="12" spans="2:104" ht="16.8" customHeight="1" x14ac:dyDescent="0.3">
      <c r="B12" s="27" t="str">
        <f>IF(Start!B12 &lt;&gt; "", Start!B12, "")</f>
        <v>Sim Party Racing</v>
      </c>
      <c r="C12" s="5" t="str">
        <f>IF(Start!C12 &lt;&gt; "", Start!C12, "")</f>
        <v>Lola</v>
      </c>
      <c r="D12" s="5" t="str">
        <f>IF(Start!D12 &lt;&gt; "", Start!D12, "")</f>
        <v>Chevrolet</v>
      </c>
      <c r="E12" s="5" t="str">
        <f>IF(Start!E12 &lt;&gt; "", Start!E12, "")</f>
        <v>Michelin</v>
      </c>
      <c r="H12" s="135">
        <f t="shared" si="23"/>
        <v>689</v>
      </c>
      <c r="I12" s="135">
        <f t="shared" si="24"/>
        <v>101</v>
      </c>
      <c r="J12" s="135">
        <f t="shared" si="25"/>
        <v>97.7</v>
      </c>
      <c r="K12" s="135">
        <f t="shared" si="26"/>
        <v>790</v>
      </c>
      <c r="N12" s="5">
        <v>14</v>
      </c>
      <c r="Q12" s="5">
        <f t="shared" si="0"/>
        <v>3</v>
      </c>
      <c r="R12" s="5">
        <v>2</v>
      </c>
      <c r="S12" s="135">
        <f t="shared" si="1"/>
        <v>5</v>
      </c>
      <c r="V12" s="27" t="str">
        <f t="shared" si="2"/>
        <v>Sim Party Racing</v>
      </c>
      <c r="W12" s="5">
        <v>101</v>
      </c>
      <c r="X12" s="5">
        <v>8</v>
      </c>
      <c r="Y12" s="5">
        <v>5</v>
      </c>
      <c r="Z12" s="5">
        <v>6</v>
      </c>
      <c r="AA12" s="5">
        <v>3</v>
      </c>
      <c r="AB12" s="135">
        <f t="shared" si="27"/>
        <v>123</v>
      </c>
      <c r="AE12" s="19">
        <f t="shared" si="28"/>
        <v>22</v>
      </c>
      <c r="AH12" s="27" t="str">
        <f t="shared" si="3"/>
        <v>Sim Party Racing</v>
      </c>
      <c r="AI12" s="5">
        <f t="shared" si="29"/>
        <v>8</v>
      </c>
      <c r="AJ12" s="5">
        <f t="shared" si="30"/>
        <v>5</v>
      </c>
      <c r="AK12" s="5">
        <f t="shared" si="31"/>
        <v>9</v>
      </c>
      <c r="AL12" s="5">
        <f t="shared" si="32"/>
        <v>132</v>
      </c>
      <c r="AM12" s="5">
        <f t="shared" si="33"/>
        <v>100</v>
      </c>
      <c r="AN12" s="5">
        <f t="shared" si="4"/>
        <v>113</v>
      </c>
      <c r="AO12" s="5">
        <f t="shared" si="5"/>
        <v>216</v>
      </c>
      <c r="AP12" s="5">
        <f t="shared" si="6"/>
        <v>106</v>
      </c>
      <c r="AQ12" s="135">
        <f t="shared" si="34"/>
        <v>689</v>
      </c>
      <c r="AT12" s="27" t="str">
        <f t="shared" si="7"/>
        <v>Sim Party Racing</v>
      </c>
      <c r="AU12" s="5">
        <v>27</v>
      </c>
      <c r="AV12" s="5">
        <v>30</v>
      </c>
      <c r="AW12" s="5">
        <v>43</v>
      </c>
      <c r="AX12" s="5">
        <v>32</v>
      </c>
      <c r="AY12" s="135">
        <f t="shared" si="35"/>
        <v>132</v>
      </c>
      <c r="CB12" s="27" t="str">
        <f>IF(Lineups!B42 &lt;&gt; "", Lineups!B42, "")</f>
        <v>Charles Leclerc</v>
      </c>
      <c r="CC12" s="5">
        <f t="shared" si="8"/>
        <v>100</v>
      </c>
      <c r="CD12" s="5">
        <f t="shared" si="9"/>
        <v>1</v>
      </c>
      <c r="CE12" s="5">
        <f t="shared" si="10"/>
        <v>1</v>
      </c>
      <c r="CG12" s="27" t="str">
        <f>IF(Lineups!B43 &lt;&gt; "", Lineups!B43, "")</f>
        <v>Alexander Albon</v>
      </c>
      <c r="CH12" s="5">
        <f t="shared" si="11"/>
        <v>98</v>
      </c>
      <c r="CI12" s="5">
        <f t="shared" si="12"/>
        <v>1</v>
      </c>
      <c r="CJ12" s="5">
        <f t="shared" si="13"/>
        <v>2</v>
      </c>
      <c r="CL12" s="27" t="str">
        <f>IF(Lineups!B44 &lt;&gt; "", Lineups!B44, "")</f>
        <v>Mick Schumacher</v>
      </c>
      <c r="CM12" s="5">
        <f t="shared" si="14"/>
        <v>95</v>
      </c>
      <c r="CN12" s="5">
        <f t="shared" si="15"/>
        <v>4</v>
      </c>
      <c r="CO12" s="5">
        <f t="shared" si="16"/>
        <v>3</v>
      </c>
      <c r="CR12" s="27"/>
      <c r="CS12" s="5">
        <f t="shared" si="17"/>
        <v>0</v>
      </c>
      <c r="CT12" s="5" t="str">
        <f t="shared" si="18"/>
        <v/>
      </c>
      <c r="CU12" s="5" t="str">
        <f t="shared" si="19"/>
        <v/>
      </c>
      <c r="CW12" s="27" t="str">
        <f>IF(Lineups!B45 &lt;&gt; "", Lineups!B45, "")</f>
        <v>Oliver Bearman</v>
      </c>
      <c r="CX12" s="5">
        <f t="shared" si="20"/>
        <v>100</v>
      </c>
      <c r="CY12" s="5">
        <f t="shared" si="21"/>
        <v>1</v>
      </c>
      <c r="CZ12" s="5">
        <f t="shared" si="22"/>
        <v>1</v>
      </c>
    </row>
    <row r="13" spans="2:104" ht="16.8" customHeight="1" x14ac:dyDescent="0.3">
      <c r="B13" s="28" t="str">
        <f>IF(Start!B13 &lt;&gt; "", Start!B13, "")</f>
        <v>Centurion Engineering</v>
      </c>
      <c r="C13" s="5" t="str">
        <f>IF(Start!C13 &lt;&gt; "", Start!C13, "")</f>
        <v>Lola</v>
      </c>
      <c r="D13" s="5" t="str">
        <f>IF(Start!D13 &lt;&gt; "", Start!D13, "")</f>
        <v>Porsche</v>
      </c>
      <c r="E13" s="5" t="str">
        <f>IF(Start!E13 &lt;&gt; "", Start!E13, "")</f>
        <v>Michelin</v>
      </c>
      <c r="H13" s="135">
        <f>AQ13</f>
        <v>690</v>
      </c>
      <c r="I13" s="135">
        <f t="shared" si="24"/>
        <v>103</v>
      </c>
      <c r="J13" s="135">
        <f>ROUND((CC13 + CH13 + CM13) / 3, 1)</f>
        <v>100</v>
      </c>
      <c r="K13" s="135">
        <f t="shared" si="26"/>
        <v>793</v>
      </c>
      <c r="N13" s="5">
        <v>14</v>
      </c>
      <c r="Q13" s="5">
        <f t="shared" si="0"/>
        <v>3</v>
      </c>
      <c r="R13" s="5">
        <v>2</v>
      </c>
      <c r="S13" s="135">
        <f t="shared" si="1"/>
        <v>5</v>
      </c>
      <c r="V13" s="28" t="str">
        <f t="shared" si="2"/>
        <v>Centurion Engineering</v>
      </c>
      <c r="W13" s="5">
        <v>103</v>
      </c>
      <c r="X13" s="5">
        <v>7</v>
      </c>
      <c r="Y13" s="5">
        <v>4</v>
      </c>
      <c r="Z13" s="5">
        <v>4</v>
      </c>
      <c r="AA13" s="5">
        <v>7</v>
      </c>
      <c r="AB13" s="135">
        <f t="shared" si="27"/>
        <v>125</v>
      </c>
      <c r="AE13" s="19">
        <f t="shared" si="28"/>
        <v>22</v>
      </c>
      <c r="AH13" s="28" t="str">
        <f t="shared" si="3"/>
        <v>Centurion Engineering</v>
      </c>
      <c r="AI13" s="5">
        <f t="shared" si="29"/>
        <v>7</v>
      </c>
      <c r="AJ13" s="5">
        <f t="shared" si="30"/>
        <v>4</v>
      </c>
      <c r="AK13" s="5">
        <f>SUM(Z13:AA13)</f>
        <v>11</v>
      </c>
      <c r="AL13" s="5">
        <f>AY13</f>
        <v>132</v>
      </c>
      <c r="AM13" s="5">
        <f t="shared" si="33"/>
        <v>100</v>
      </c>
      <c r="AN13" s="5">
        <f t="shared" si="4"/>
        <v>113</v>
      </c>
      <c r="AO13" s="5">
        <f t="shared" si="5"/>
        <v>217</v>
      </c>
      <c r="AP13" s="5">
        <f t="shared" si="6"/>
        <v>106</v>
      </c>
      <c r="AQ13" s="135">
        <f>SUM(AI13:AP13)</f>
        <v>690</v>
      </c>
      <c r="AT13" s="28" t="str">
        <f t="shared" si="7"/>
        <v>Centurion Engineering</v>
      </c>
      <c r="AU13" s="5">
        <v>30</v>
      </c>
      <c r="AV13" s="5">
        <v>30</v>
      </c>
      <c r="AW13" s="5">
        <v>44</v>
      </c>
      <c r="AX13" s="5">
        <v>28</v>
      </c>
      <c r="AY13" s="135">
        <f>SUM(AU13:AX13)</f>
        <v>132</v>
      </c>
      <c r="CB13" s="28" t="str">
        <f>IF(Lineups!B34 &lt;&gt; "", Lineups!B34, "")</f>
        <v>Kyle Kirkwood</v>
      </c>
      <c r="CC13" s="5">
        <f t="shared" si="8"/>
        <v>100</v>
      </c>
      <c r="CD13" s="5">
        <f t="shared" si="9"/>
        <v>1</v>
      </c>
      <c r="CE13" s="5">
        <f t="shared" si="10"/>
        <v>1</v>
      </c>
      <c r="CG13" s="28" t="str">
        <f>IF(Lineups!B35 &lt;&gt; "", Lineups!B35, "")</f>
        <v>Alex Palou</v>
      </c>
      <c r="CH13" s="5">
        <f t="shared" si="11"/>
        <v>100</v>
      </c>
      <c r="CI13" s="5">
        <f t="shared" si="12"/>
        <v>1</v>
      </c>
      <c r="CJ13" s="5">
        <f t="shared" si="13"/>
        <v>1</v>
      </c>
      <c r="CL13" s="28" t="str">
        <f>IF(Lineups!B36 &lt;&gt; "", Lineups!B36, "")</f>
        <v>Abbi Pulling</v>
      </c>
      <c r="CM13" s="5">
        <f t="shared" si="14"/>
        <v>100</v>
      </c>
      <c r="CN13" s="5">
        <f t="shared" si="15"/>
        <v>1</v>
      </c>
      <c r="CO13" s="5">
        <f t="shared" si="16"/>
        <v>1</v>
      </c>
      <c r="CR13" s="28"/>
      <c r="CS13" s="5">
        <f t="shared" si="17"/>
        <v>0</v>
      </c>
      <c r="CT13" s="5" t="str">
        <f t="shared" si="18"/>
        <v/>
      </c>
      <c r="CU13" s="5" t="str">
        <f t="shared" si="19"/>
        <v/>
      </c>
      <c r="CW13" s="28" t="str">
        <f>IF(Lineups!B37 &lt;&gt; "", Lineups!B37, "")</f>
        <v>Marta Garcia</v>
      </c>
      <c r="CX13" s="5">
        <f t="shared" si="20"/>
        <v>98</v>
      </c>
      <c r="CY13" s="5">
        <f t="shared" si="21"/>
        <v>2</v>
      </c>
      <c r="CZ13" s="5">
        <f t="shared" si="22"/>
        <v>2</v>
      </c>
    </row>
    <row r="14" spans="2:104" ht="16.8" customHeight="1" x14ac:dyDescent="0.3">
      <c r="B14" s="163" t="str">
        <f>IF(Start!B14 &lt;&gt; "", Start!B14, "")</f>
        <v>APR GP Racing</v>
      </c>
      <c r="C14" s="5" t="str">
        <f>IF(Start!C14 &lt;&gt; "", Start!C14, "")</f>
        <v>Tatuus</v>
      </c>
      <c r="D14" s="5" t="str">
        <f>IF(Start!D14 &lt;&gt; "", Start!D14, "")</f>
        <v>Toyota</v>
      </c>
      <c r="E14" s="5" t="str">
        <f>IF(Start!E14 &lt;&gt; "", Start!E14, "")</f>
        <v>Firestone</v>
      </c>
      <c r="H14" s="135">
        <f>AQ14</f>
        <v>695</v>
      </c>
      <c r="I14" s="135">
        <f t="shared" si="24"/>
        <v>99</v>
      </c>
      <c r="J14" s="135">
        <f>ROUND((CC14 + CH14 + CM14) / 3, 1)</f>
        <v>99.3</v>
      </c>
      <c r="K14" s="135">
        <f t="shared" si="26"/>
        <v>794</v>
      </c>
      <c r="N14" s="5">
        <v>14</v>
      </c>
      <c r="Q14" s="5">
        <f t="shared" si="0"/>
        <v>2</v>
      </c>
      <c r="R14" s="5">
        <v>2</v>
      </c>
      <c r="S14" s="135">
        <f t="shared" si="1"/>
        <v>4</v>
      </c>
      <c r="V14" s="163" t="str">
        <f t="shared" si="2"/>
        <v>APR GP Racing</v>
      </c>
      <c r="W14" s="5">
        <v>99</v>
      </c>
      <c r="X14" s="5">
        <v>6</v>
      </c>
      <c r="Y14" s="5">
        <v>5</v>
      </c>
      <c r="Z14" s="5">
        <v>8</v>
      </c>
      <c r="AA14" s="5">
        <v>8</v>
      </c>
      <c r="AB14" s="135">
        <f t="shared" si="27"/>
        <v>126</v>
      </c>
      <c r="AE14" s="19">
        <f t="shared" si="28"/>
        <v>27</v>
      </c>
      <c r="AH14" s="163" t="str">
        <f t="shared" si="3"/>
        <v>APR GP Racing</v>
      </c>
      <c r="AI14" s="5">
        <f t="shared" si="29"/>
        <v>6</v>
      </c>
      <c r="AJ14" s="5">
        <f t="shared" si="30"/>
        <v>5</v>
      </c>
      <c r="AK14" s="5">
        <f>SUM(Z14:AA14)</f>
        <v>16</v>
      </c>
      <c r="AL14" s="5">
        <f>AY14</f>
        <v>134</v>
      </c>
      <c r="AM14" s="5">
        <f t="shared" si="33"/>
        <v>97</v>
      </c>
      <c r="AN14" s="5">
        <f t="shared" si="4"/>
        <v>115</v>
      </c>
      <c r="AO14" s="5">
        <f t="shared" si="5"/>
        <v>215</v>
      </c>
      <c r="AP14" s="5">
        <f t="shared" si="6"/>
        <v>107</v>
      </c>
      <c r="AQ14" s="135">
        <f>SUM(AI14:AP14)</f>
        <v>695</v>
      </c>
      <c r="AT14" s="163" t="str">
        <f t="shared" si="7"/>
        <v>APR GP Racing</v>
      </c>
      <c r="AU14" s="5">
        <v>30</v>
      </c>
      <c r="AV14" s="5">
        <v>32</v>
      </c>
      <c r="AW14" s="5">
        <v>46</v>
      </c>
      <c r="AX14" s="5">
        <v>26</v>
      </c>
      <c r="AY14" s="135">
        <f>SUM(AU14:AX14)</f>
        <v>134</v>
      </c>
      <c r="CB14" s="163" t="str">
        <f>IF(Lineups!B13 &lt;&gt; "", Lineups!B13, "")</f>
        <v>Victor Martins</v>
      </c>
      <c r="CC14" s="5">
        <f t="shared" si="8"/>
        <v>99</v>
      </c>
      <c r="CD14" s="5">
        <f t="shared" si="9"/>
        <v>1</v>
      </c>
      <c r="CE14" s="5">
        <f t="shared" si="10"/>
        <v>2</v>
      </c>
      <c r="CG14" s="163" t="str">
        <f>IF(Lineups!B14 &lt;&gt; "", Lineups!B14, "")</f>
        <v>Doriane Pin</v>
      </c>
      <c r="CH14" s="5">
        <f t="shared" si="11"/>
        <v>100</v>
      </c>
      <c r="CI14" s="5">
        <f t="shared" si="12"/>
        <v>1</v>
      </c>
      <c r="CJ14" s="5">
        <f t="shared" si="13"/>
        <v>1</v>
      </c>
      <c r="CL14" s="163" t="str">
        <f>IF(Lineups!B15 &lt;&gt; "", Lineups!B15, "")</f>
        <v>Dan Ticktum</v>
      </c>
      <c r="CM14" s="5">
        <f t="shared" si="14"/>
        <v>99</v>
      </c>
      <c r="CN14" s="5">
        <f t="shared" si="15"/>
        <v>2</v>
      </c>
      <c r="CO14" s="5">
        <f t="shared" si="16"/>
        <v>2</v>
      </c>
      <c r="CR14" s="163"/>
      <c r="CS14" s="5">
        <f t="shared" si="17"/>
        <v>0</v>
      </c>
      <c r="CT14" s="5" t="str">
        <f t="shared" si="18"/>
        <v/>
      </c>
      <c r="CU14" s="5" t="str">
        <f t="shared" si="19"/>
        <v/>
      </c>
      <c r="CW14" s="163" t="str">
        <f>IF(Lineups!B16 &lt;&gt; "", Lineups!B16, "")</f>
        <v>Ugo Ugochukwu</v>
      </c>
      <c r="CX14" s="5">
        <f t="shared" si="20"/>
        <v>94</v>
      </c>
      <c r="CY14" s="5">
        <f t="shared" si="21"/>
        <v>3</v>
      </c>
      <c r="CZ14" s="5">
        <f t="shared" si="22"/>
        <v>3</v>
      </c>
    </row>
    <row r="17" spans="14:76" ht="16.8" customHeight="1" x14ac:dyDescent="0.3">
      <c r="N17" s="19">
        <f ca="1">RANDBETWEEN(12, 15)</f>
        <v>12</v>
      </c>
      <c r="R17" s="19">
        <f ca="1">RANDBETWEEN(1, 3)</f>
        <v>1</v>
      </c>
      <c r="W17" s="19">
        <f ca="1">RANDBETWEEN(98, 100)</f>
        <v>100</v>
      </c>
      <c r="X17" s="19">
        <f ca="1">RANDBETWEEN(2, 5)</f>
        <v>3</v>
      </c>
      <c r="Y17" s="19">
        <f t="shared" ref="Y17:AA17" ca="1" si="36">RANDBETWEEN(2, 5)</f>
        <v>4</v>
      </c>
      <c r="Z17" s="19">
        <f t="shared" ca="1" si="36"/>
        <v>3</v>
      </c>
      <c r="AA17" s="19">
        <f t="shared" ca="1" si="36"/>
        <v>2</v>
      </c>
      <c r="AU17" s="19">
        <f ca="1">RANDBETWEEN(23, 26) + 1</f>
        <v>27</v>
      </c>
      <c r="AV17" s="19">
        <f ca="1">RANDBETWEEN(23, 26) + 1</f>
        <v>27</v>
      </c>
      <c r="AW17" s="19">
        <f ca="1">RANDBETWEEN(34, 37) + 1</f>
        <v>37</v>
      </c>
      <c r="AX17" s="19">
        <f ca="1">RANDBETWEEN(20, 23) + 1</f>
        <v>23</v>
      </c>
      <c r="BC17" s="113">
        <f ca="1">RANDBETWEEN(97, 100)</f>
        <v>97</v>
      </c>
      <c r="BD17" s="19">
        <f ca="1">RANDBETWEEN(47, 50)</f>
        <v>49</v>
      </c>
      <c r="BE17" s="19">
        <f ca="1">RANDBETWEEN(47, 50)</f>
        <v>48</v>
      </c>
      <c r="BQ17" s="19">
        <f ca="1">RANDBETWEEN(97, 100)</f>
        <v>97</v>
      </c>
      <c r="BR17" s="19">
        <f ca="1">RANDBETWEEN(97, 100)</f>
        <v>98</v>
      </c>
      <c r="BX17" s="19">
        <f ca="1">RANDBETWEEN(97, 100)</f>
        <v>100</v>
      </c>
    </row>
  </sheetData>
  <sortState xmlns:xlrd2="http://schemas.microsoft.com/office/spreadsheetml/2017/richdata2" ref="BO5:BT8">
    <sortCondition ref="BO5:BO8"/>
  </sortState>
  <mergeCells count="33">
    <mergeCell ref="CB3:CE3"/>
    <mergeCell ref="CG3:CJ3"/>
    <mergeCell ref="CL3:CO3"/>
    <mergeCell ref="CW3:CZ3"/>
    <mergeCell ref="BH3:BH4"/>
    <mergeCell ref="BK3:BM3"/>
    <mergeCell ref="BP3:BT3"/>
    <mergeCell ref="BW3:BY3"/>
    <mergeCell ref="CR3:CU3"/>
    <mergeCell ref="BP2:BT2"/>
    <mergeCell ref="BW2:BY2"/>
    <mergeCell ref="BB3:BB4"/>
    <mergeCell ref="BC3:BC4"/>
    <mergeCell ref="BD3:BE3"/>
    <mergeCell ref="BF3:BF4"/>
    <mergeCell ref="BG3:BG4"/>
    <mergeCell ref="BB2:BH2"/>
    <mergeCell ref="BK2:BM2"/>
    <mergeCell ref="V3:V4"/>
    <mergeCell ref="AT3:AY3"/>
    <mergeCell ref="W3:W4"/>
    <mergeCell ref="AH2:AQ2"/>
    <mergeCell ref="AH3:AQ3"/>
    <mergeCell ref="AT2:AY2"/>
    <mergeCell ref="X3:AA3"/>
    <mergeCell ref="V2:AB2"/>
    <mergeCell ref="AB3:AB4"/>
    <mergeCell ref="Q2:S2"/>
    <mergeCell ref="Q3:S3"/>
    <mergeCell ref="B2:E2"/>
    <mergeCell ref="B3:E3"/>
    <mergeCell ref="H2:K2"/>
    <mergeCell ref="H3:K3"/>
  </mergeCells>
  <conditionalFormatting sqref="C5:C14">
    <cfRule type="cellIs" dxfId="225" priority="16" operator="equal">
      <formula>"Lola"</formula>
    </cfRule>
    <cfRule type="cellIs" dxfId="224" priority="59" operator="equal">
      <formula>"March"</formula>
    </cfRule>
    <cfRule type="cellIs" dxfId="223" priority="60" operator="equal">
      <formula>"Reynard"</formula>
    </cfRule>
    <cfRule type="cellIs" dxfId="222" priority="61" operator="equal">
      <formula>"Tatuus"</formula>
    </cfRule>
  </conditionalFormatting>
  <conditionalFormatting sqref="D5:D14">
    <cfRule type="cellIs" dxfId="221" priority="54" operator="equal">
      <formula>"Honda"</formula>
    </cfRule>
    <cfRule type="cellIs" dxfId="220" priority="55" operator="equal">
      <formula>"Chevrolet"</formula>
    </cfRule>
    <cfRule type="cellIs" dxfId="219" priority="56" operator="equal">
      <formula>"Toyota"</formula>
    </cfRule>
    <cfRule type="cellIs" dxfId="218" priority="57" operator="equal">
      <formula>"Porsche"</formula>
    </cfRule>
  </conditionalFormatting>
  <conditionalFormatting sqref="E5:E14">
    <cfRule type="cellIs" dxfId="217" priority="50" operator="equal">
      <formula>"Firestone"</formula>
    </cfRule>
    <cfRule type="cellIs" dxfId="216" priority="51" operator="equal">
      <formula>"Pirelli"</formula>
    </cfRule>
    <cfRule type="cellIs" dxfId="215" priority="52" operator="equal">
      <formula>"Michelin"</formula>
    </cfRule>
    <cfRule type="cellIs" dxfId="214" priority="53" operator="equal">
      <formula>"Hankook"</formula>
    </cfRule>
  </conditionalFormatting>
  <conditionalFormatting sqref="H5:H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:AQ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:AY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:BF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:BS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5:BX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57BB-A1C2-48FB-9490-E25E189F2BCA}">
  <dimension ref="B1:CG20"/>
  <sheetViews>
    <sheetView workbookViewId="0">
      <selection activeCell="K2" sqref="K2"/>
    </sheetView>
  </sheetViews>
  <sheetFormatPr defaultRowHeight="16.8" customHeight="1" x14ac:dyDescent="0.3"/>
  <cols>
    <col min="1" max="1" width="3.109375" style="4" customWidth="1"/>
    <col min="2" max="2" width="27.77734375" style="4" customWidth="1"/>
    <col min="3" max="5" width="11.109375" style="4" customWidth="1"/>
    <col min="6" max="7" width="3.109375" style="4" customWidth="1"/>
    <col min="8" max="8" width="11.109375" style="4" customWidth="1"/>
    <col min="9" max="10" width="3.109375" style="4" customWidth="1"/>
    <col min="11" max="12" width="8.88671875" style="4" customWidth="1"/>
    <col min="13" max="15" width="8.88671875" style="4" hidden="1" customWidth="1"/>
    <col min="16" max="17" width="8.88671875" style="4" customWidth="1"/>
    <col min="18" max="20" width="8.88671875" style="4" hidden="1" customWidth="1"/>
    <col min="21" max="22" width="8.88671875" style="4" customWidth="1"/>
    <col min="23" max="25" width="8.88671875" style="4" hidden="1" customWidth="1"/>
    <col min="26" max="27" width="8.88671875" style="4" customWidth="1"/>
    <col min="28" max="30" width="8.88671875" style="4" hidden="1" customWidth="1"/>
    <col min="31" max="32" width="8.88671875" style="4" customWidth="1"/>
    <col min="33" max="35" width="8.88671875" style="4" hidden="1" customWidth="1"/>
    <col min="36" max="37" width="8.88671875" style="4" customWidth="1"/>
    <col min="38" max="40" width="8.88671875" style="4" hidden="1" customWidth="1"/>
    <col min="41" max="42" width="8.88671875" style="4" customWidth="1"/>
    <col min="43" max="45" width="8.88671875" style="4" hidden="1" customWidth="1"/>
    <col min="46" max="47" width="8.88671875" style="4" customWidth="1"/>
    <col min="48" max="50" width="8.88671875" style="4" hidden="1" customWidth="1"/>
    <col min="51" max="52" width="8.88671875" style="4" customWidth="1"/>
    <col min="53" max="55" width="8.88671875" style="4" hidden="1" customWidth="1"/>
    <col min="56" max="57" width="8.88671875" style="4" customWidth="1"/>
    <col min="58" max="60" width="8.88671875" style="4" hidden="1" customWidth="1"/>
    <col min="61" max="62" width="8.88671875" style="4" customWidth="1"/>
    <col min="63" max="65" width="8.88671875" style="4" hidden="1" customWidth="1"/>
    <col min="66" max="67" width="8.88671875" style="4" customWidth="1"/>
    <col min="68" max="70" width="8.88671875" style="4" hidden="1" customWidth="1"/>
    <col min="71" max="72" width="8.88671875" style="4" customWidth="1"/>
    <col min="73" max="75" width="8.88671875" style="4" hidden="1" customWidth="1"/>
    <col min="76" max="77" width="8.88671875" style="4" customWidth="1"/>
    <col min="78" max="80" width="8.88671875" style="4" hidden="1" customWidth="1"/>
    <col min="81" max="82" width="8.88671875" style="4" customWidth="1"/>
    <col min="83" max="84" width="3.109375" style="4" customWidth="1"/>
    <col min="85" max="16384" width="8.88671875" style="4"/>
  </cols>
  <sheetData>
    <row r="1" spans="2:85" ht="16.8" customHeight="1" thickBot="1" x14ac:dyDescent="0.35"/>
    <row r="2" spans="2:85" ht="16.8" customHeight="1" x14ac:dyDescent="0.3">
      <c r="B2" s="180" t="s">
        <v>609</v>
      </c>
      <c r="C2" s="181"/>
      <c r="D2" s="181"/>
      <c r="E2" s="182"/>
      <c r="H2" s="10" t="s">
        <v>609</v>
      </c>
    </row>
    <row r="3" spans="2:85" ht="16.8" customHeight="1" thickBot="1" x14ac:dyDescent="0.35">
      <c r="B3" s="171" t="s">
        <v>392</v>
      </c>
      <c r="C3" s="172"/>
      <c r="D3" s="172"/>
      <c r="E3" s="173"/>
      <c r="H3" s="12" t="s">
        <v>392</v>
      </c>
    </row>
    <row r="4" spans="2:85" ht="16.8" customHeight="1" thickBot="1" x14ac:dyDescent="0.35">
      <c r="B4" s="7" t="s">
        <v>0</v>
      </c>
      <c r="C4" s="7" t="s">
        <v>422</v>
      </c>
      <c r="D4" s="7" t="s">
        <v>2</v>
      </c>
      <c r="E4" s="7" t="s">
        <v>3</v>
      </c>
      <c r="H4" s="7" t="s">
        <v>156</v>
      </c>
      <c r="K4" s="220" t="s">
        <v>358</v>
      </c>
      <c r="L4" s="221"/>
      <c r="M4" s="159" t="s">
        <v>369</v>
      </c>
      <c r="N4" s="222" t="s">
        <v>514</v>
      </c>
      <c r="O4" s="223"/>
      <c r="P4" s="222" t="s">
        <v>359</v>
      </c>
      <c r="Q4" s="223"/>
      <c r="R4" s="33" t="s">
        <v>369</v>
      </c>
      <c r="S4" s="222" t="s">
        <v>514</v>
      </c>
      <c r="T4" s="223"/>
      <c r="U4" s="222" t="s">
        <v>672</v>
      </c>
      <c r="V4" s="223"/>
      <c r="W4" s="33" t="s">
        <v>369</v>
      </c>
      <c r="X4" s="222" t="s">
        <v>514</v>
      </c>
      <c r="Y4" s="223"/>
      <c r="Z4" s="222" t="s">
        <v>360</v>
      </c>
      <c r="AA4" s="223"/>
      <c r="AB4" s="33" t="s">
        <v>369</v>
      </c>
      <c r="AC4" s="222" t="s">
        <v>514</v>
      </c>
      <c r="AD4" s="223"/>
      <c r="AE4" s="222" t="s">
        <v>361</v>
      </c>
      <c r="AF4" s="223"/>
      <c r="AG4" s="33" t="s">
        <v>369</v>
      </c>
      <c r="AH4" s="222" t="s">
        <v>514</v>
      </c>
      <c r="AI4" s="223"/>
      <c r="AJ4" s="222" t="s">
        <v>362</v>
      </c>
      <c r="AK4" s="223"/>
      <c r="AL4" s="33" t="s">
        <v>369</v>
      </c>
      <c r="AM4" s="222" t="s">
        <v>514</v>
      </c>
      <c r="AN4" s="223"/>
      <c r="AO4" s="222" t="s">
        <v>363</v>
      </c>
      <c r="AP4" s="223"/>
      <c r="AQ4" s="33" t="s">
        <v>369</v>
      </c>
      <c r="AR4" s="222" t="s">
        <v>514</v>
      </c>
      <c r="AS4" s="223"/>
      <c r="AT4" s="222" t="s">
        <v>364</v>
      </c>
      <c r="AU4" s="223"/>
      <c r="AV4" s="33" t="s">
        <v>369</v>
      </c>
      <c r="AW4" s="222" t="s">
        <v>514</v>
      </c>
      <c r="AX4" s="223"/>
      <c r="AY4" s="222" t="s">
        <v>365</v>
      </c>
      <c r="AZ4" s="223"/>
      <c r="BA4" s="33" t="s">
        <v>369</v>
      </c>
      <c r="BB4" s="222" t="s">
        <v>514</v>
      </c>
      <c r="BC4" s="223"/>
      <c r="BD4" s="222" t="s">
        <v>366</v>
      </c>
      <c r="BE4" s="223"/>
      <c r="BF4" s="33" t="s">
        <v>369</v>
      </c>
      <c r="BG4" s="222" t="s">
        <v>514</v>
      </c>
      <c r="BH4" s="223"/>
      <c r="BI4" s="222" t="s">
        <v>367</v>
      </c>
      <c r="BJ4" s="223"/>
      <c r="BK4" s="33" t="s">
        <v>369</v>
      </c>
      <c r="BL4" s="222" t="s">
        <v>514</v>
      </c>
      <c r="BM4" s="223"/>
      <c r="BN4" s="222" t="s">
        <v>425</v>
      </c>
      <c r="BO4" s="223"/>
      <c r="BP4" s="33" t="s">
        <v>369</v>
      </c>
      <c r="BQ4" s="222" t="s">
        <v>514</v>
      </c>
      <c r="BR4" s="223"/>
      <c r="BS4" s="222" t="s">
        <v>426</v>
      </c>
      <c r="BT4" s="223"/>
      <c r="BU4" s="33" t="s">
        <v>369</v>
      </c>
      <c r="BV4" s="222" t="s">
        <v>514</v>
      </c>
      <c r="BW4" s="223"/>
      <c r="BX4" s="222" t="s">
        <v>591</v>
      </c>
      <c r="BY4" s="223"/>
      <c r="BZ4" s="33" t="s">
        <v>369</v>
      </c>
      <c r="CA4" s="222" t="s">
        <v>514</v>
      </c>
      <c r="CB4" s="224"/>
      <c r="CC4" s="220" t="s">
        <v>673</v>
      </c>
      <c r="CD4" s="221"/>
    </row>
    <row r="5" spans="2:85" ht="16.8" customHeight="1" x14ac:dyDescent="0.3">
      <c r="B5" s="89" t="str">
        <f>IF(Start!B5 &lt;&gt; "", Start!B5, "")</f>
        <v>Bruh Racing</v>
      </c>
      <c r="C5" s="10" t="str">
        <f>IF(Start!C5 &lt;&gt; "", Start!C5, "")</f>
        <v>Lola</v>
      </c>
      <c r="D5" s="10" t="str">
        <f>IF(Start!D5 &lt;&gt; "", Start!D5, "")</f>
        <v>Chevrolet</v>
      </c>
      <c r="E5" s="10" t="str">
        <f>IF(Start!E5 &lt;&gt; "", Start!E5, "")</f>
        <v>Pirelli</v>
      </c>
      <c r="H5" s="169">
        <f>Stats!AQ5</f>
        <v>692</v>
      </c>
      <c r="K5" s="153" t="e">
        <f t="shared" ref="K5:K14" si="0">SUM(H5, M5:O5)</f>
        <v>#REF!</v>
      </c>
      <c r="L5" s="167" t="e">
        <f>ROUND(LOG(K5, 1.0075), 0) - 700</f>
        <v>#REF!</v>
      </c>
      <c r="M5" s="164">
        <f>IF(M17 = "Aero", Stats!X5, IF(M17 = "Chassis", Stats!Y5, IF(M17 = "Suspension", SUM(Stats!Z5:'Stats'!AA5), 0)))</f>
        <v>0</v>
      </c>
      <c r="N5" s="154" t="e">
        <f>IF(N17 = "Aero", Stats!AL5, IF(N17 = "Chassis", Stats!AM5, IF(N17 = "Suspension", Stats!AN5, IF(N17 = "Engine", Stats!AO5, 0))))</f>
        <v>#REF!</v>
      </c>
      <c r="O5" s="154" t="e">
        <f>IF(O17 = "Aero", Stats!AL5, IF(O17 = "Chassis", Stats!AM5, IF(O17 = "Suspension", Stats!AN5, IF(O17 = "Engine", Stats!AO5, 0))))</f>
        <v>#REF!</v>
      </c>
      <c r="P5" s="154" t="e">
        <f t="shared" ref="P5:P14" si="1">SUM(H5, R5:T5)</f>
        <v>#REF!</v>
      </c>
      <c r="Q5" s="167" t="e">
        <f>ROUND(LOG(P5, 1.0075), 0) - 700</f>
        <v>#REF!</v>
      </c>
      <c r="R5" s="154">
        <f>IF(R17 = "Aero", Stats!X5, IF(R17 = "Chassis", Stats!Y5, IF(R17 = "Suspension", SUM(Stats!Z5:'Stats'!AA5), 0)))</f>
        <v>0</v>
      </c>
      <c r="S5" s="154" t="e">
        <f>IF(S17 = "Aero", Stats!AL5, IF(S17 = "Chassis", Stats!AM5, IF(S17 = "Suspension", Stats!AN5, IF(S17 = "Engine", Stats!AO5, 0))))</f>
        <v>#REF!</v>
      </c>
      <c r="T5" s="154" t="e">
        <f>IF(T17 = "Aero", Stats!AL5, IF(T17 = "Chassis", Stats!AM5, IF(T17 = "Suspension", Stats!AN5, IF(T17 = "Engine", Stats!AO5, 0))))</f>
        <v>#REF!</v>
      </c>
      <c r="U5" s="154" t="e">
        <f t="shared" ref="U5:U14" si="2">SUM(H5, W5:Y5)</f>
        <v>#N/A</v>
      </c>
      <c r="V5" s="167" t="e">
        <f>ROUND(LOG(U5, 1.0075), 0) - 700</f>
        <v>#N/A</v>
      </c>
      <c r="W5" s="154" t="e">
        <f>IF(W17 = "Aero", Stats!X5, IF(W17 = "Chassis", Stats!Y5, IF(W17 = "Suspension", SUM(Stats!Z5:'Stats'!AA5), 0)))</f>
        <v>#N/A</v>
      </c>
      <c r="X5" s="154" t="e">
        <f>IF(X17 = "Aero", Stats!AL5, IF(X17 = "Chassis", Stats!AM5, IF(X17 = "Suspension", Stats!AN5, IF(X17 = "Engine", Stats!AO5, 0))))</f>
        <v>#N/A</v>
      </c>
      <c r="Y5" s="154" t="e">
        <f>IF(Y17 = "Aero", Stats!AL5, IF(Y17 = "Chassis", Stats!AM5, IF(Y17 = "Suspension", Stats!AN5, IF(Y17 = "Engine", Stats!AO5, 0))))</f>
        <v>#N/A</v>
      </c>
      <c r="Z5" s="154" t="e">
        <f t="shared" ref="Z5:Z14" si="3">SUM(H5, AB5:AD5)</f>
        <v>#REF!</v>
      </c>
      <c r="AA5" s="167" t="e">
        <f>ROUND(LOG(Z5, 1.0075), 0) - 700</f>
        <v>#REF!</v>
      </c>
      <c r="AB5" s="154">
        <f>IF(AB17 = "Aero", Stats!X5, IF(AB17 = "Chassis", Stats!Y5, IF(AB17 = "Suspension", SUM(Stats!Z5:'Stats'!AA5), 0)))</f>
        <v>0</v>
      </c>
      <c r="AC5" s="154" t="e">
        <f>IF(AC17 = "Aero", Stats!AL5, IF(AC17 = "Chassis", Stats!AM5, IF(AC17 = "Suspension", Stats!AN5, IF(AC17 = "Engine", Stats!AO5, 0))))</f>
        <v>#REF!</v>
      </c>
      <c r="AD5" s="154" t="e">
        <f>IF(AD17 = "Aero", Stats!AL5, IF(AD17 = "Chassis", Stats!AM5, IF(AD17 = "Suspension", Stats!AN5, IF(AD17 = "Engine", Stats!AO5, 0))))</f>
        <v>#REF!</v>
      </c>
      <c r="AE5" s="154" t="e">
        <f t="shared" ref="AE5:AE14" si="4">SUM(H5, AG5:AI5)</f>
        <v>#REF!</v>
      </c>
      <c r="AF5" s="167" t="e">
        <f>ROUND(LOG(AE5, 1.0075), 0) - 700</f>
        <v>#REF!</v>
      </c>
      <c r="AG5" s="154">
        <f>IF(AG17 = "Aero", Stats!X5, IF(AG17 = "Chassis", Stats!Y5, IF(AG17 = "Suspension", SUM(Stats!Z5:'Stats'!AA5), 0)))</f>
        <v>10</v>
      </c>
      <c r="AH5" s="154" t="e">
        <f>IF(AH17 = "Aero", Stats!AL5, IF(AH17 = "Chassis", Stats!AM5, IF(AH17 = "Suspension", Stats!AN5, IF(AH17 = "Engine", Stats!AO5, 0))))</f>
        <v>#REF!</v>
      </c>
      <c r="AI5" s="154" t="e">
        <f>IF(AI17 = "Aero", Stats!AL5, IF(AI17 = "Chassis", Stats!AM5, IF(AI17 = "Suspension", Stats!AN5, IF(AI17 = "Engine", Stats!AO5, 0))))</f>
        <v>#REF!</v>
      </c>
      <c r="AJ5" s="154" t="e">
        <f t="shared" ref="AJ5:AJ14" si="5">SUM(H5, AL5:AN5)</f>
        <v>#REF!</v>
      </c>
      <c r="AK5" s="167" t="e">
        <f>ROUND(LOG(AJ5, 1.0075), 0) - 700</f>
        <v>#REF!</v>
      </c>
      <c r="AL5" s="154">
        <f>IF(AL17 = "Aero", Stats!X5, IF(AL17 = "Chassis", Stats!Y5, IF(AL17 = "Suspension", SUM(Stats!Z5:'Stats'!AA5), 0)))</f>
        <v>10</v>
      </c>
      <c r="AM5" s="154" t="e">
        <f>IF(AM17 = "Aero", Stats!AL5, IF(AM17 = "Chassis", Stats!AM5, IF(AM17 = "Suspension", Stats!AN5, IF(AM17 = "Engine", Stats!AO5, 0))))</f>
        <v>#REF!</v>
      </c>
      <c r="AN5" s="154" t="e">
        <f>IF(AN17 = "Aero", Stats!AL5, IF(AN17 = "Chassis", Stats!AM5, IF(AN17 = "Suspension", Stats!AN5, IF(AN17 = "Engine", Stats!AO5, 0))))</f>
        <v>#REF!</v>
      </c>
      <c r="AO5" s="154" t="e">
        <f t="shared" ref="AO5:AO14" si="6">SUM(H5, AQ5:AS5)</f>
        <v>#REF!</v>
      </c>
      <c r="AP5" s="167" t="e">
        <f>ROUND(LOG(AO5, 1.0075), 0) - 700</f>
        <v>#REF!</v>
      </c>
      <c r="AQ5" s="154">
        <f>IF(AQ17 = "Aero", Stats!X5, IF(AQ17 = "Chassis", Stats!Y5, IF(AQ17 = "Suspension", SUM(Stats!Z5:'Stats'!AA5), 0)))</f>
        <v>10</v>
      </c>
      <c r="AR5" s="154" t="e">
        <f>IF(AR17 = "Aero", Stats!AL5, IF(AR17 = "Chassis", Stats!AM5, IF(AR17 = "Suspension", Stats!AN5, IF(AR17 = "Engine", Stats!AO5, 0))))</f>
        <v>#REF!</v>
      </c>
      <c r="AS5" s="154" t="e">
        <f>IF(AS17 = "Aero", Stats!AL5, IF(AS17 = "Chassis", Stats!AM5, IF(AS17 = "Suspension", Stats!AN5, IF(AS17 = "Engine", Stats!AO5, 0))))</f>
        <v>#REF!</v>
      </c>
      <c r="AT5" s="154" t="e">
        <f t="shared" ref="AT5:AT14" si="7">SUM(H5, AV5:AX5)</f>
        <v>#REF!</v>
      </c>
      <c r="AU5" s="167" t="e">
        <f>ROUND(LOG(AT5, 1.0075), 0) - 700</f>
        <v>#REF!</v>
      </c>
      <c r="AV5" s="154">
        <f>IF(AV17 = "Aero", Stats!X5, IF(AV17 = "Chassis", Stats!Y5, IF(AV17 = "Suspension", SUM(Stats!Z5:'Stats'!AA5), 0)))</f>
        <v>7</v>
      </c>
      <c r="AW5" s="154" t="e">
        <f>IF(AW17 = "Aero", Stats!AL5, IF(AW17 = "Chassis", Stats!AM5, IF(AW17 = "Suspension", Stats!AN5, IF(AW17 = "Engine", Stats!AO5, 0))))</f>
        <v>#REF!</v>
      </c>
      <c r="AX5" s="154" t="e">
        <f>IF(AX17 = "Aero", Stats!AL5, IF(AX17 = "Chassis", Stats!AM5, IF(AX17 = "Suspension", Stats!AN5, IF(AX17 = "Engine", Stats!AO5, 0))))</f>
        <v>#REF!</v>
      </c>
      <c r="AY5" s="154" t="e">
        <f t="shared" ref="AY5:AY14" si="8">SUM(H5, BA5:BC5)</f>
        <v>#REF!</v>
      </c>
      <c r="AZ5" s="167" t="e">
        <f>ROUND(LOG(AY5, 1.0075), 0) - 700</f>
        <v>#REF!</v>
      </c>
      <c r="BA5" s="154">
        <f>IF(BA17 = "Aero", Stats!X5, IF(BA17 = "Chassis", Stats!Y5, IF(BA17 = "Suspension", SUM(Stats!Z5:'Stats'!AA5), 0)))</f>
        <v>7</v>
      </c>
      <c r="BB5" s="154" t="e">
        <f>IF(BB17 = "Aero", Stats!AL5, IF(BB17 = "Chassis", Stats!AM5, IF(BB17 = "Suspension", Stats!AN5, IF(BB17 = "Engine", Stats!AO5, 0))))</f>
        <v>#REF!</v>
      </c>
      <c r="BC5" s="154" t="e">
        <f>IF(BC17 = "Aero", Stats!AL5, IF(BC17 = "Chassis", Stats!AM5, IF(BC17 = "Suspension", Stats!AN5, IF(BC17 = "Engine", Stats!AO5, 0))))</f>
        <v>#REF!</v>
      </c>
      <c r="BD5" s="154" t="e">
        <f t="shared" ref="BD5:BD14" si="9">SUM(H5, BF5:BH5)</f>
        <v>#REF!</v>
      </c>
      <c r="BE5" s="167" t="e">
        <f>ROUND(LOG(BD5, 1.0075), 0) - 700</f>
        <v>#REF!</v>
      </c>
      <c r="BF5" s="154">
        <f>IF(BF17 = "Aero", Stats!X5, IF(BF17 = "Chassis", Stats!Y5, IF(BF17 = "Suspension", SUM(Stats!Z5:'Stats'!AA5), 0)))</f>
        <v>0</v>
      </c>
      <c r="BG5" s="154" t="e">
        <f>IF(BG17 = "Aero", Stats!AL5, IF(BG17 = "Chassis", Stats!AM5, IF(BG17 = "Suspension", Stats!AN5, IF(BG17 = "Engine", Stats!AO5, 0))))</f>
        <v>#REF!</v>
      </c>
      <c r="BH5" s="154" t="e">
        <f>IF(BH17 = "Aero", Stats!AL5, IF(BH17 = "Chassis", Stats!AM5, IF(BH17 = "Suspension", Stats!AN5, IF(BH17 = "Engine", Stats!AO5, 0))))</f>
        <v>#REF!</v>
      </c>
      <c r="BI5" s="154" t="e">
        <f t="shared" ref="BI5:BI14" si="10">SUM(H5, BK5:BM5)</f>
        <v>#REF!</v>
      </c>
      <c r="BJ5" s="167" t="e">
        <f>ROUND(LOG(BI5, 1.0075), 0) - 700</f>
        <v>#REF!</v>
      </c>
      <c r="BK5" s="154">
        <f>IF(BK17 = "Aero", Stats!X5, IF(BK17 = "Chassis", Stats!Y5, IF(BK17 = "Suspension", SUM(Stats!Z5:'Stats'!AA5), 0)))</f>
        <v>10</v>
      </c>
      <c r="BL5" s="154" t="e">
        <f>IF(BL17 = "Aero", Stats!AL5, IF(BL17 = "Chassis", Stats!AM5, IF(BL17 = "Suspension", Stats!AN5, IF(BL17 = "Engine", Stats!AO5, 0))))</f>
        <v>#REF!</v>
      </c>
      <c r="BM5" s="154" t="e">
        <f>IF(BM17 = "Aero", Stats!AL5, IF(BM17 = "Chassis", Stats!AM5, IF(BM17 = "Suspension", Stats!AN5, IF(BM17 = "Engine", Stats!AO5, 0))))</f>
        <v>#REF!</v>
      </c>
      <c r="BN5" s="154" t="e">
        <f t="shared" ref="BN5:BN14" si="11">SUM(H5, BP5:BR5)</f>
        <v>#REF!</v>
      </c>
      <c r="BO5" s="167" t="e">
        <f>ROUND(LOG(BN5, 1.0075), 0) - 700</f>
        <v>#REF!</v>
      </c>
      <c r="BP5" s="154">
        <f>IF(BP17 = "Aero", Stats!X5, IF(BP17 = "Chassis", Stats!Y5, IF(BP17 = "Suspension", SUM(Stats!Z5:'Stats'!AA5), 0)))</f>
        <v>0</v>
      </c>
      <c r="BQ5" s="154" t="e">
        <f>IF(BQ17 = "Aero", Stats!AL5, IF(BQ17 = "Chassis", Stats!AM5, IF(BQ17 = "Suspension", Stats!AN5, IF(BQ17 = "Engine", Stats!AO5, 0))))</f>
        <v>#REF!</v>
      </c>
      <c r="BR5" s="154" t="e">
        <f>IF(BR17 = "Aero", Stats!AL5, IF(BR17 = "Chassis", Stats!AM5, IF(BR17 = "Suspension", Stats!AN5, IF(BR17 = "Engine", Stats!AO5, 0))))</f>
        <v>#REF!</v>
      </c>
      <c r="BS5" s="154" t="e">
        <f t="shared" ref="BS5:BS14" si="12">SUM(H5, BU5:BW5)</f>
        <v>#REF!</v>
      </c>
      <c r="BT5" s="167" t="e">
        <f>ROUND(LOG(BS5, 1.0075), 0) - 700</f>
        <v>#REF!</v>
      </c>
      <c r="BU5" s="154">
        <f>IF(BU17 = "Aero", Stats!X5, IF(BU17 = "Chassis", Stats!Y5, IF(BU17 = "Suspension", SUM(Stats!Z5:'Stats'!AA5), 0)))</f>
        <v>0</v>
      </c>
      <c r="BV5" s="154" t="e">
        <f>IF(BV17 = "Aero", Stats!AL5, IF(BV17 = "Chassis", Stats!AM5, IF(BV17 = "Suspension", Stats!AN5, IF(BV17 = "Engine", Stats!AO5, 0))))</f>
        <v>#REF!</v>
      </c>
      <c r="BW5" s="154" t="e">
        <f>IF(BW17 = "Aero", Stats!AL5, IF(BW17 = "Chassis", Stats!AM5, IF(BW17 = "Suspension", Stats!AN5, IF(BW17 = "Engine", Stats!AO5, 0))))</f>
        <v>#REF!</v>
      </c>
      <c r="BX5" s="154" t="e">
        <f t="shared" ref="BX5:BX14" si="13">SUM(H5, BZ5:CB5)</f>
        <v>#REF!</v>
      </c>
      <c r="BY5" s="167" t="e">
        <f>ROUND(LOG(BX5, 1.0075), 0) - 700</f>
        <v>#REF!</v>
      </c>
      <c r="BZ5" s="154">
        <f>IF(BZ17 = "Aero", Stats!X5, IF(BZ17 = "Chassis", Stats!Y5, IF(BZ17 = "Suspension", SUM(Stats!Z5:'Stats'!AA5), 0)))</f>
        <v>0</v>
      </c>
      <c r="CA5" s="154" t="e">
        <f>IF(CA17 = "Aero", Stats!AL5, IF(CA17 = "Chassis", Stats!AM5, IF(CA17 = "Suspension", Stats!AN5, IF(CA17 = "Engine", Stats!AO5, 0))))</f>
        <v>#REF!</v>
      </c>
      <c r="CB5" s="155" t="e">
        <f>IF(CB17 = "Aero", Stats!AL5, IF(CB17 = "Chassis", Stats!AM5, IF(CB17 = "Suspension", Stats!AN5, IF(CB17 = "Engine", Stats!AO5, 0))))</f>
        <v>#REF!</v>
      </c>
      <c r="CC5" s="143" t="e">
        <f>ROUND(SUM(K5, P5, U5, Z5, AE5, AJ5, AO5, AT5, AY5, BD5, BI5, BN5, BS5, BX5) / 14, 1)</f>
        <v>#REF!</v>
      </c>
      <c r="CD5" s="143" t="e">
        <f>ROUND(SUM(L5, Q5, V5, AA5, AF5, AK5, AP5, AU5, AZ5, BE5, BJ5, BO5, BT5, BY5) / 14, 1)</f>
        <v>#REF!</v>
      </c>
      <c r="CG5" s="4">
        <v>4</v>
      </c>
    </row>
    <row r="6" spans="2:85" ht="16.8" customHeight="1" x14ac:dyDescent="0.3">
      <c r="B6" s="36" t="str">
        <f>IF(Start!B6 &lt;&gt; "", Start!B6, "")</f>
        <v>Tactically Perfect Racing</v>
      </c>
      <c r="C6" s="11" t="str">
        <f>IF(Start!C6 &lt;&gt; "", Start!C6, "")</f>
        <v>Tatuus</v>
      </c>
      <c r="D6" s="11" t="str">
        <f>IF(Start!D6 &lt;&gt; "", Start!D6, "")</f>
        <v>Porsche</v>
      </c>
      <c r="E6" s="11" t="str">
        <f>IF(Start!E6 &lt;&gt; "", Start!E6, "")</f>
        <v>Michelin</v>
      </c>
      <c r="H6" s="144">
        <f>Stats!AQ6</f>
        <v>689</v>
      </c>
      <c r="K6" s="150" t="e">
        <f t="shared" si="0"/>
        <v>#REF!</v>
      </c>
      <c r="L6" s="167" t="e">
        <f t="shared" ref="L6:L14" si="14">ROUND(LOG(K6, 1.0075), 0) - 700</f>
        <v>#REF!</v>
      </c>
      <c r="M6" s="165">
        <f>IF(M17 = "Aero", Stats!X6, IF(M17 = "Chassis", Stats!Y6, IF(M17 = "Suspension", SUM(Stats!Z6:'Stats'!AA6), 0)))</f>
        <v>0</v>
      </c>
      <c r="N6" s="135" t="e">
        <f>IF(N17 = "Aero", Stats!AL6, IF(N17 = "Chassis", Stats!AM6, IF(N17 = "Suspension", Stats!AN6, IF(N17 = "Engine", Stats!AO6, 0))))</f>
        <v>#REF!</v>
      </c>
      <c r="O6" s="135" t="e">
        <f>IF(O17 = "Aero", Stats!AL6, IF(O17 = "Chassis", Stats!AM6, IF(O17 = "Suspension", Stats!AN6, IF(O17 = "Engine", Stats!AO6, 0))))</f>
        <v>#REF!</v>
      </c>
      <c r="P6" s="135" t="e">
        <f t="shared" si="1"/>
        <v>#REF!</v>
      </c>
      <c r="Q6" s="167" t="e">
        <f t="shared" ref="Q6:Q14" si="15">ROUND(LOG(P6, 1.0075), 0) - 700</f>
        <v>#REF!</v>
      </c>
      <c r="R6" s="135">
        <f>IF(R17 = "Aero", Stats!X6, IF(R17 = "Chassis", Stats!Y6, IF(R17 = "Suspension", SUM(Stats!Z6:'Stats'!AA6), 0)))</f>
        <v>0</v>
      </c>
      <c r="S6" s="135" t="e">
        <f>IF(S17 = "Aero", Stats!AL6, IF(S17 = "Chassis", Stats!AM6, IF(S17 = "Suspension", Stats!AN6, IF(S17 = "Engine", Stats!AO6, 0))))</f>
        <v>#REF!</v>
      </c>
      <c r="T6" s="135" t="e">
        <f>IF(T17 = "Aero", Stats!AL6, IF(T17 = "Chassis", Stats!AM6, IF(T17 = "Suspension", Stats!AN6, IF(T17 = "Engine", Stats!AO6, 0))))</f>
        <v>#REF!</v>
      </c>
      <c r="U6" s="135" t="e">
        <f t="shared" si="2"/>
        <v>#N/A</v>
      </c>
      <c r="V6" s="167" t="e">
        <f t="shared" ref="V6:V14" si="16">ROUND(LOG(U6, 1.0075), 0) - 700</f>
        <v>#N/A</v>
      </c>
      <c r="W6" s="135" t="e">
        <f>IF(W17 = "Aero", Stats!X6, IF(W17 = "Chassis", Stats!Y6, IF(W17 = "Suspension", SUM(Stats!Z6:'Stats'!AA6), 0)))</f>
        <v>#N/A</v>
      </c>
      <c r="X6" s="135" t="e">
        <f>IF(X17 = "Aero", Stats!AL6, IF(X17 = "Chassis", Stats!AM6, IF(X17 = "Suspension", Stats!AN6, IF(X17 = "Engine", Stats!AO6, 0))))</f>
        <v>#N/A</v>
      </c>
      <c r="Y6" s="135" t="e">
        <f>IF(Y17 = "Aero", Stats!AL6, IF(Y17 = "Chassis", Stats!AM6, IF(Y17 = "Suspension", Stats!AN6, IF(Y17 = "Engine", Stats!AO6, 0))))</f>
        <v>#N/A</v>
      </c>
      <c r="Z6" s="135" t="e">
        <f t="shared" si="3"/>
        <v>#REF!</v>
      </c>
      <c r="AA6" s="167" t="e">
        <f t="shared" ref="AA6:AA14" si="17">ROUND(LOG(Z6, 1.0075), 0) - 700</f>
        <v>#REF!</v>
      </c>
      <c r="AB6" s="135">
        <f>IF(AB17 = "Aero", Stats!X6, IF(AB17 = "Chassis", Stats!Y6, IF(AB17 = "Suspension", SUM(Stats!Z6:'Stats'!AA6), 0)))</f>
        <v>0</v>
      </c>
      <c r="AC6" s="135" t="e">
        <f>IF(AC17 = "Aero", Stats!AL6, IF(AC17 = "Chassis", Stats!AM6, IF(AC17 = "Suspension", Stats!AN6, IF(AC17 = "Engine", Stats!AO6, 0))))</f>
        <v>#REF!</v>
      </c>
      <c r="AD6" s="135" t="e">
        <f>IF(AD17 = "Aero", Stats!AL6, IF(AD17 = "Chassis", Stats!AM6, IF(AD17 = "Suspension", Stats!AN6, IF(AD17 = "Engine", Stats!AO6, 0))))</f>
        <v>#REF!</v>
      </c>
      <c r="AE6" s="135" t="e">
        <f t="shared" si="4"/>
        <v>#REF!</v>
      </c>
      <c r="AF6" s="167" t="e">
        <f t="shared" ref="AF6:AF14" si="18">ROUND(LOG(AE6, 1.0075), 0) - 700</f>
        <v>#REF!</v>
      </c>
      <c r="AG6" s="135">
        <f>IF(AG17 = "Aero", Stats!X6, IF(AG17 = "Chassis", Stats!Y6, IF(AG17 = "Suspension", SUM(Stats!Z6:'Stats'!AA6), 0)))</f>
        <v>11</v>
      </c>
      <c r="AH6" s="135" t="e">
        <f>IF(AH17 = "Aero", Stats!AL6, IF(AH17 = "Chassis", Stats!AM6, IF(AH17 = "Suspension", Stats!AN6, IF(AH17 = "Engine", Stats!AO6, 0))))</f>
        <v>#REF!</v>
      </c>
      <c r="AI6" s="135" t="e">
        <f>IF(AI17 = "Aero", Stats!AL6, IF(AI17 = "Chassis", Stats!AM6, IF(AI17 = "Suspension", Stats!AN6, IF(AI17 = "Engine", Stats!AO6, 0))))</f>
        <v>#REF!</v>
      </c>
      <c r="AJ6" s="135" t="e">
        <f t="shared" si="5"/>
        <v>#REF!</v>
      </c>
      <c r="AK6" s="167" t="e">
        <f t="shared" ref="AK6:AK14" si="19">ROUND(LOG(AJ6, 1.0075), 0) - 700</f>
        <v>#REF!</v>
      </c>
      <c r="AL6" s="135">
        <f>IF(AL17 = "Aero", Stats!X6, IF(AL17 = "Chassis", Stats!Y6, IF(AL17 = "Suspension", SUM(Stats!Z6:'Stats'!AA6), 0)))</f>
        <v>11</v>
      </c>
      <c r="AM6" s="135" t="e">
        <f>IF(AM17 = "Aero", Stats!AL6, IF(AM17 = "Chassis", Stats!AM6, IF(AM17 = "Suspension", Stats!AN6, IF(AM17 = "Engine", Stats!AO6, 0))))</f>
        <v>#REF!</v>
      </c>
      <c r="AN6" s="135" t="e">
        <f>IF(AN17 = "Aero", Stats!AL6, IF(AN17 = "Chassis", Stats!AM6, IF(AN17 = "Suspension", Stats!AN6, IF(AN17 = "Engine", Stats!AO6, 0))))</f>
        <v>#REF!</v>
      </c>
      <c r="AO6" s="135" t="e">
        <f t="shared" si="6"/>
        <v>#REF!</v>
      </c>
      <c r="AP6" s="167" t="e">
        <f t="shared" ref="AP6:AP14" si="20">ROUND(LOG(AO6, 1.0075), 0) - 700</f>
        <v>#REF!</v>
      </c>
      <c r="AQ6" s="135">
        <f>IF(AQ17 = "Aero", Stats!X6, IF(AQ17 = "Chassis", Stats!Y6, IF(AQ17 = "Suspension", SUM(Stats!Z6:'Stats'!AA6), 0)))</f>
        <v>11</v>
      </c>
      <c r="AR6" s="135" t="e">
        <f>IF(AR17 = "Aero", Stats!AL6, IF(AR17 = "Chassis", Stats!AM6, IF(AR17 = "Suspension", Stats!AN6, IF(AR17 = "Engine", Stats!AO6, 0))))</f>
        <v>#REF!</v>
      </c>
      <c r="AS6" s="135" t="e">
        <f>IF(AS17 = "Aero", Stats!AL6, IF(AS17 = "Chassis", Stats!AM6, IF(AS17 = "Suspension", Stats!AN6, IF(AS17 = "Engine", Stats!AO6, 0))))</f>
        <v>#REF!</v>
      </c>
      <c r="AT6" s="135" t="e">
        <f t="shared" si="7"/>
        <v>#REF!</v>
      </c>
      <c r="AU6" s="167" t="e">
        <f t="shared" ref="AU6:AU14" si="21">ROUND(LOG(AT6, 1.0075), 0) - 700</f>
        <v>#REF!</v>
      </c>
      <c r="AV6" s="135">
        <f>IF(AV17 = "Aero", Stats!X6, IF(AV17 = "Chassis", Stats!Y6, IF(AV17 = "Suspension", SUM(Stats!Z6:'Stats'!AA6), 0)))</f>
        <v>3</v>
      </c>
      <c r="AW6" s="135" t="e">
        <f>IF(AW17 = "Aero", Stats!AL6, IF(AW17 = "Chassis", Stats!AM6, IF(AW17 = "Suspension", Stats!AN6, IF(AW17 = "Engine", Stats!AO6, 0))))</f>
        <v>#REF!</v>
      </c>
      <c r="AX6" s="135" t="e">
        <f>IF(AX17 = "Aero", Stats!AL6, IF(AX17 = "Chassis", Stats!AM6, IF(AX17 = "Suspension", Stats!AN6, IF(AX17 = "Engine", Stats!AO6, 0))))</f>
        <v>#REF!</v>
      </c>
      <c r="AY6" s="135" t="e">
        <f t="shared" si="8"/>
        <v>#REF!</v>
      </c>
      <c r="AZ6" s="167" t="e">
        <f t="shared" ref="AZ6:AZ14" si="22">ROUND(LOG(AY6, 1.0075), 0) - 700</f>
        <v>#REF!</v>
      </c>
      <c r="BA6" s="135">
        <f>IF(BA17 = "Aero", Stats!X6, IF(BA17 = "Chassis", Stats!Y6, IF(BA17 = "Suspension", SUM(Stats!Z6:'Stats'!AA6), 0)))</f>
        <v>3</v>
      </c>
      <c r="BB6" s="135" t="e">
        <f>IF(BB17 = "Aero", Stats!AL6, IF(BB17 = "Chassis", Stats!AM6, IF(BB17 = "Suspension", Stats!AN6, IF(BB17 = "Engine", Stats!AO6, 0))))</f>
        <v>#REF!</v>
      </c>
      <c r="BC6" s="135" t="e">
        <f>IF(BC17 = "Aero", Stats!AL6, IF(BC17 = "Chassis", Stats!AM6, IF(BC17 = "Suspension", Stats!AN6, IF(BC17 = "Engine", Stats!AO6, 0))))</f>
        <v>#REF!</v>
      </c>
      <c r="BD6" s="135" t="e">
        <f t="shared" si="9"/>
        <v>#REF!</v>
      </c>
      <c r="BE6" s="167" t="e">
        <f t="shared" ref="BE6:BE14" si="23">ROUND(LOG(BD6, 1.0075), 0) - 700</f>
        <v>#REF!</v>
      </c>
      <c r="BF6" s="135">
        <f>IF(BF17 = "Aero", Stats!X6, IF(BF17 = "Chassis", Stats!Y6, IF(BF17 = "Suspension", SUM(Stats!Z6:'Stats'!AA6), 0)))</f>
        <v>0</v>
      </c>
      <c r="BG6" s="135" t="e">
        <f>IF(BG17 = "Aero", Stats!AL6, IF(BG17 = "Chassis", Stats!AM6, IF(BG17 = "Suspension", Stats!AN6, IF(BG17 = "Engine", Stats!AO6, 0))))</f>
        <v>#REF!</v>
      </c>
      <c r="BH6" s="135" t="e">
        <f>IF(BH17 = "Aero", Stats!AL6, IF(BH17 = "Chassis", Stats!AM6, IF(BH17 = "Suspension", Stats!AN6, IF(BH17 = "Engine", Stats!AO6, 0))))</f>
        <v>#REF!</v>
      </c>
      <c r="BI6" s="135" t="e">
        <f t="shared" si="10"/>
        <v>#REF!</v>
      </c>
      <c r="BJ6" s="167" t="e">
        <f t="shared" ref="BJ6:BJ14" si="24">ROUND(LOG(BI6, 1.0075), 0) - 700</f>
        <v>#REF!</v>
      </c>
      <c r="BK6" s="135">
        <f>IF(BK17 = "Aero", Stats!X6, IF(BK17 = "Chassis", Stats!Y6, IF(BK17 = "Suspension", SUM(Stats!Z6:'Stats'!AA6), 0)))</f>
        <v>11</v>
      </c>
      <c r="BL6" s="135" t="e">
        <f>IF(BL17 = "Aero", Stats!AL6, IF(BL17 = "Chassis", Stats!AM6, IF(BL17 = "Suspension", Stats!AN6, IF(BL17 = "Engine", Stats!AO6, 0))))</f>
        <v>#REF!</v>
      </c>
      <c r="BM6" s="135" t="e">
        <f>IF(BM17 = "Aero", Stats!AL6, IF(BM17 = "Chassis", Stats!AM6, IF(BM17 = "Suspension", Stats!AN6, IF(BM17 = "Engine", Stats!AO6, 0))))</f>
        <v>#REF!</v>
      </c>
      <c r="BN6" s="135" t="e">
        <f t="shared" si="11"/>
        <v>#REF!</v>
      </c>
      <c r="BO6" s="167" t="e">
        <f t="shared" ref="BO6:BO14" si="25">ROUND(LOG(BN6, 1.0075), 0) - 700</f>
        <v>#REF!</v>
      </c>
      <c r="BP6" s="135">
        <f>IF(BP17 = "Aero", Stats!X6, IF(BP17 = "Chassis", Stats!Y6, IF(BP17 = "Suspension", SUM(Stats!Z6:'Stats'!AA6), 0)))</f>
        <v>0</v>
      </c>
      <c r="BQ6" s="135" t="e">
        <f>IF(BQ17 = "Aero", Stats!AL6, IF(BQ17 = "Chassis", Stats!AM6, IF(BQ17 = "Suspension", Stats!AN6, IF(BQ17 = "Engine", Stats!AO6, 0))))</f>
        <v>#REF!</v>
      </c>
      <c r="BR6" s="135" t="e">
        <f>IF(BR17 = "Aero", Stats!AL6, IF(BR17 = "Chassis", Stats!AM6, IF(BR17 = "Suspension", Stats!AN6, IF(BR17 = "Engine", Stats!AO6, 0))))</f>
        <v>#REF!</v>
      </c>
      <c r="BS6" s="135" t="e">
        <f t="shared" si="12"/>
        <v>#REF!</v>
      </c>
      <c r="BT6" s="167" t="e">
        <f t="shared" ref="BT6:BT14" si="26">ROUND(LOG(BS6, 1.0075), 0) - 700</f>
        <v>#REF!</v>
      </c>
      <c r="BU6" s="135">
        <f>IF(BU17 = "Aero", Stats!X6, IF(BU17 = "Chassis", Stats!Y6, IF(BU17 = "Suspension", SUM(Stats!Z6:'Stats'!AA6), 0)))</f>
        <v>0</v>
      </c>
      <c r="BV6" s="135" t="e">
        <f>IF(BV17 = "Aero", Stats!AL6, IF(BV17 = "Chassis", Stats!AM6, IF(BV17 = "Suspension", Stats!AN6, IF(BV17 = "Engine", Stats!AO6, 0))))</f>
        <v>#REF!</v>
      </c>
      <c r="BW6" s="135" t="e">
        <f>IF(BW17 = "Aero", Stats!AL6, IF(BW17 = "Chassis", Stats!AM6, IF(BW17 = "Suspension", Stats!AN6, IF(BW17 = "Engine", Stats!AO6, 0))))</f>
        <v>#REF!</v>
      </c>
      <c r="BX6" s="135" t="e">
        <f t="shared" si="13"/>
        <v>#REF!</v>
      </c>
      <c r="BY6" s="167" t="e">
        <f t="shared" ref="BY6:BY14" si="27">ROUND(LOG(BX6, 1.0075), 0) - 700</f>
        <v>#REF!</v>
      </c>
      <c r="BZ6" s="135">
        <f>IF(BZ17 = "Aero", Stats!X6, IF(BZ17 = "Chassis", Stats!Y6, IF(BZ17 = "Suspension", SUM(Stats!Z6:'Stats'!AA6), 0)))</f>
        <v>0</v>
      </c>
      <c r="CA6" s="135" t="e">
        <f>IF(CA17 = "Aero", Stats!AL6, IF(CA17 = "Chassis", Stats!AM6, IF(CA17 = "Suspension", Stats!AN6, IF(CA17 = "Engine", Stats!AO6, 0))))</f>
        <v>#REF!</v>
      </c>
      <c r="CB6" s="156" t="e">
        <f>IF(CB17 = "Aero", Stats!AL6, IF(CB17 = "Chassis", Stats!AM6, IF(CB17 = "Suspension", Stats!AN6, IF(CB17 = "Engine", Stats!AO6, 0))))</f>
        <v>#REF!</v>
      </c>
      <c r="CC6" s="144" t="e">
        <f t="shared" ref="CC6:CD14" si="28">ROUND(SUM(K6, P6, U6, Z6, AE6, AJ6, AO6, AT6, AY6, BD6, BI6, BN6, BS6, BX6) / 14, 1)</f>
        <v>#REF!</v>
      </c>
      <c r="CD6" s="144" t="e">
        <f t="shared" si="28"/>
        <v>#REF!</v>
      </c>
      <c r="CG6" s="4">
        <v>8</v>
      </c>
    </row>
    <row r="7" spans="2:85" ht="16.8" customHeight="1" x14ac:dyDescent="0.3">
      <c r="B7" s="37" t="str">
        <f>IF(Start!B7 &lt;&gt; "", Start!B7, "")</f>
        <v>Super Corby Racing</v>
      </c>
      <c r="C7" s="11" t="str">
        <f>IF(Start!C7 &lt;&gt; "", Start!C7, "")</f>
        <v>Tatuus</v>
      </c>
      <c r="D7" s="11" t="str">
        <f>IF(Start!D7 &lt;&gt; "", Start!D7, "")</f>
        <v>Porsche</v>
      </c>
      <c r="E7" s="11" t="str">
        <f>IF(Start!E7 &lt;&gt; "", Start!E7, "")</f>
        <v>Michelin</v>
      </c>
      <c r="H7" s="144">
        <f>Stats!AQ7</f>
        <v>691</v>
      </c>
      <c r="K7" s="150" t="e">
        <f t="shared" si="0"/>
        <v>#REF!</v>
      </c>
      <c r="L7" s="167" t="e">
        <f>ROUND(LOG(K7, 1.0075), 0) - 700</f>
        <v>#REF!</v>
      </c>
      <c r="M7" s="165">
        <f>IF(M17 = "Aero", Stats!X7, IF(M17 = "Chassis", Stats!Y7, IF(M17 = "Suspension", SUM(Stats!Z7:'Stats'!AA7), 0)))</f>
        <v>0</v>
      </c>
      <c r="N7" s="135" t="e">
        <f>IF(N17 = "Aero", Stats!AL7, IF(N17 = "Chassis", Stats!AM7, IF(N17 = "Suspension", Stats!AN7, IF(N17 = "Engine", Stats!AO7, 0))))</f>
        <v>#REF!</v>
      </c>
      <c r="O7" s="135" t="e">
        <f>IF(O17 = "Aero", Stats!AL7, IF(O17 = "Chassis", Stats!AM7, IF(O17 = "Suspension", Stats!AN7, IF(O17 = "Engine", Stats!AO7, 0))))</f>
        <v>#REF!</v>
      </c>
      <c r="P7" s="135" t="e">
        <f t="shared" si="1"/>
        <v>#REF!</v>
      </c>
      <c r="Q7" s="167" t="e">
        <f t="shared" si="15"/>
        <v>#REF!</v>
      </c>
      <c r="R7" s="135">
        <f>IF(R17 = "Aero", Stats!X7, IF(R17 = "Chassis", Stats!Y7, IF(R17 = "Suspension", SUM(Stats!Z7:'Stats'!AA7), 0)))</f>
        <v>0</v>
      </c>
      <c r="S7" s="135" t="e">
        <f>IF(S17 = "Aero", Stats!AL7, IF(S17 = "Chassis", Stats!AM7, IF(S17 = "Suspension", Stats!AN7, IF(S17 = "Engine", Stats!AO7, 0))))</f>
        <v>#REF!</v>
      </c>
      <c r="T7" s="135" t="e">
        <f>IF(T17 = "Aero", Stats!AL7, IF(T17 = "Chassis", Stats!AM7, IF(T17 = "Suspension", Stats!AN7, IF(T17 = "Engine", Stats!AO7, 0))))</f>
        <v>#REF!</v>
      </c>
      <c r="U7" s="135" t="e">
        <f t="shared" si="2"/>
        <v>#N/A</v>
      </c>
      <c r="V7" s="167" t="e">
        <f t="shared" si="16"/>
        <v>#N/A</v>
      </c>
      <c r="W7" s="135" t="e">
        <f>IF(W17 = "Aero", Stats!X7, IF(W17 = "Chassis", Stats!Y7, IF(W17 = "Suspension", SUM(Stats!Z7:'Stats'!AA7), 0)))</f>
        <v>#N/A</v>
      </c>
      <c r="X7" s="135" t="e">
        <f>IF(X17 = "Aero", Stats!AL7, IF(X17 = "Chassis", Stats!AM7, IF(X17 = "Suspension", Stats!AN7, IF(X17 = "Engine", Stats!AO7, 0))))</f>
        <v>#N/A</v>
      </c>
      <c r="Y7" s="135" t="e">
        <f>IF(Y17 = "Aero", Stats!AL7, IF(Y17 = "Chassis", Stats!AM7, IF(Y17 = "Suspension", Stats!AN7, IF(Y17 = "Engine", Stats!AO7, 0))))</f>
        <v>#N/A</v>
      </c>
      <c r="Z7" s="135" t="e">
        <f t="shared" si="3"/>
        <v>#REF!</v>
      </c>
      <c r="AA7" s="167" t="e">
        <f t="shared" si="17"/>
        <v>#REF!</v>
      </c>
      <c r="AB7" s="135">
        <f>IF(AB17 = "Aero", Stats!X7, IF(AB17 = "Chassis", Stats!Y7, IF(AB17 = "Suspension", SUM(Stats!Z7:'Stats'!AA7), 0)))</f>
        <v>0</v>
      </c>
      <c r="AC7" s="135" t="e">
        <f>IF(AC17 = "Aero", Stats!AL7, IF(AC17 = "Chassis", Stats!AM7, IF(AC17 = "Suspension", Stats!AN7, IF(AC17 = "Engine", Stats!AO7, 0))))</f>
        <v>#REF!</v>
      </c>
      <c r="AD7" s="135" t="e">
        <f>IF(AD17 = "Aero", Stats!AL7, IF(AD17 = "Chassis", Stats!AM7, IF(AD17 = "Suspension", Stats!AN7, IF(AD17 = "Engine", Stats!AO7, 0))))</f>
        <v>#REF!</v>
      </c>
      <c r="AE7" s="135" t="e">
        <f t="shared" si="4"/>
        <v>#REF!</v>
      </c>
      <c r="AF7" s="167" t="e">
        <f t="shared" si="18"/>
        <v>#REF!</v>
      </c>
      <c r="AG7" s="135">
        <f>IF(AG17 = "Aero", Stats!X7, IF(AG17 = "Chassis", Stats!Y7, IF(AG17 = "Suspension", SUM(Stats!Z7:'Stats'!AA7), 0)))</f>
        <v>10</v>
      </c>
      <c r="AH7" s="135" t="e">
        <f>IF(AH17 = "Aero", Stats!AL7, IF(AH17 = "Chassis", Stats!AM7, IF(AH17 = "Suspension", Stats!AN7, IF(AH17 = "Engine", Stats!AO7, 0))))</f>
        <v>#REF!</v>
      </c>
      <c r="AI7" s="135" t="e">
        <f>IF(AI17 = "Aero", Stats!AL7, IF(AI17 = "Chassis", Stats!AM7, IF(AI17 = "Suspension", Stats!AN7, IF(AI17 = "Engine", Stats!AO7, 0))))</f>
        <v>#REF!</v>
      </c>
      <c r="AJ7" s="135" t="e">
        <f t="shared" si="5"/>
        <v>#REF!</v>
      </c>
      <c r="AK7" s="167" t="e">
        <f t="shared" si="19"/>
        <v>#REF!</v>
      </c>
      <c r="AL7" s="135">
        <f>IF(AL17 = "Aero", Stats!X7, IF(AL17 = "Chassis", Stats!Y7, IF(AL17 = "Suspension", SUM(Stats!Z7:'Stats'!AA7), 0)))</f>
        <v>10</v>
      </c>
      <c r="AM7" s="135" t="e">
        <f>IF(AM17 = "Aero", Stats!AL7, IF(AM17 = "Chassis", Stats!AM7, IF(AM17 = "Suspension", Stats!AN7, IF(AM17 = "Engine", Stats!AO7, 0))))</f>
        <v>#REF!</v>
      </c>
      <c r="AN7" s="135" t="e">
        <f>IF(AN17 = "Aero", Stats!AL7, IF(AN17 = "Chassis", Stats!AM7, IF(AN17 = "Suspension", Stats!AN7, IF(AN17 = "Engine", Stats!AO7, 0))))</f>
        <v>#REF!</v>
      </c>
      <c r="AO7" s="135" t="e">
        <f t="shared" si="6"/>
        <v>#REF!</v>
      </c>
      <c r="AP7" s="167" t="e">
        <f t="shared" si="20"/>
        <v>#REF!</v>
      </c>
      <c r="AQ7" s="135">
        <f>IF(AQ17 = "Aero", Stats!X7, IF(AQ17 = "Chassis", Stats!Y7, IF(AQ17 = "Suspension", SUM(Stats!Z7:'Stats'!AA7), 0)))</f>
        <v>10</v>
      </c>
      <c r="AR7" s="135" t="e">
        <f>IF(AR17 = "Aero", Stats!AL7, IF(AR17 = "Chassis", Stats!AM7, IF(AR17 = "Suspension", Stats!AN7, IF(AR17 = "Engine", Stats!AO7, 0))))</f>
        <v>#REF!</v>
      </c>
      <c r="AS7" s="135" t="e">
        <f>IF(AS17 = "Aero", Stats!AL7, IF(AS17 = "Chassis", Stats!AM7, IF(AS17 = "Suspension", Stats!AN7, IF(AS17 = "Engine", Stats!AO7, 0))))</f>
        <v>#REF!</v>
      </c>
      <c r="AT7" s="135" t="e">
        <f t="shared" si="7"/>
        <v>#REF!</v>
      </c>
      <c r="AU7" s="167" t="e">
        <f t="shared" si="21"/>
        <v>#REF!</v>
      </c>
      <c r="AV7" s="135">
        <f>IF(AV17 = "Aero", Stats!X7, IF(AV17 = "Chassis", Stats!Y7, IF(AV17 = "Suspension", SUM(Stats!Z7:'Stats'!AA7), 0)))</f>
        <v>8</v>
      </c>
      <c r="AW7" s="135" t="e">
        <f>IF(AW17 = "Aero", Stats!AL7, IF(AW17 = "Chassis", Stats!AM7, IF(AW17 = "Suspension", Stats!AN7, IF(AW17 = "Engine", Stats!AO7, 0))))</f>
        <v>#REF!</v>
      </c>
      <c r="AX7" s="135" t="e">
        <f>IF(AX17 = "Aero", Stats!AL7, IF(AX17 = "Chassis", Stats!AM7, IF(AX17 = "Suspension", Stats!AN7, IF(AX17 = "Engine", Stats!AO7, 0))))</f>
        <v>#REF!</v>
      </c>
      <c r="AY7" s="135" t="e">
        <f t="shared" si="8"/>
        <v>#REF!</v>
      </c>
      <c r="AZ7" s="167" t="e">
        <f t="shared" si="22"/>
        <v>#REF!</v>
      </c>
      <c r="BA7" s="135">
        <f>IF(BA17 = "Aero", Stats!X7, IF(BA17 = "Chassis", Stats!Y7, IF(BA17 = "Suspension", SUM(Stats!Z7:'Stats'!AA7), 0)))</f>
        <v>8</v>
      </c>
      <c r="BB7" s="135" t="e">
        <f>IF(BB17 = "Aero", Stats!AL7, IF(BB17 = "Chassis", Stats!AM7, IF(BB17 = "Suspension", Stats!AN7, IF(BB17 = "Engine", Stats!AO7, 0))))</f>
        <v>#REF!</v>
      </c>
      <c r="BC7" s="135" t="e">
        <f>IF(BC17 = "Aero", Stats!AL7, IF(BC17 = "Chassis", Stats!AM7, IF(BC17 = "Suspension", Stats!AN7, IF(BC17 = "Engine", Stats!AO7, 0))))</f>
        <v>#REF!</v>
      </c>
      <c r="BD7" s="135" t="e">
        <f t="shared" si="9"/>
        <v>#REF!</v>
      </c>
      <c r="BE7" s="167" t="e">
        <f t="shared" si="23"/>
        <v>#REF!</v>
      </c>
      <c r="BF7" s="135">
        <f>IF(BF17 = "Aero", Stats!X7, IF(BF17 = "Chassis", Stats!Y7, IF(BF17 = "Suspension", SUM(Stats!Z7:'Stats'!AA7), 0)))</f>
        <v>0</v>
      </c>
      <c r="BG7" s="135" t="e">
        <f>IF(BG17 = "Aero", Stats!AL7, IF(BG17 = "Chassis", Stats!AM7, IF(BG17 = "Suspension", Stats!AN7, IF(BG17 = "Engine", Stats!AO7, 0))))</f>
        <v>#REF!</v>
      </c>
      <c r="BH7" s="135" t="e">
        <f>IF(BH17 = "Aero", Stats!AL7, IF(BH17 = "Chassis", Stats!AM7, IF(BH17 = "Suspension", Stats!AN7, IF(BH17 = "Engine", Stats!AO7, 0))))</f>
        <v>#REF!</v>
      </c>
      <c r="BI7" s="135" t="e">
        <f t="shared" si="10"/>
        <v>#REF!</v>
      </c>
      <c r="BJ7" s="167" t="e">
        <f t="shared" si="24"/>
        <v>#REF!</v>
      </c>
      <c r="BK7" s="135">
        <f>IF(BK17 = "Aero", Stats!X7, IF(BK17 = "Chassis", Stats!Y7, IF(BK17 = "Suspension", SUM(Stats!Z7:'Stats'!AA7), 0)))</f>
        <v>10</v>
      </c>
      <c r="BL7" s="135" t="e">
        <f>IF(BL17 = "Aero", Stats!AL7, IF(BL17 = "Chassis", Stats!AM7, IF(BL17 = "Suspension", Stats!AN7, IF(BL17 = "Engine", Stats!AO7, 0))))</f>
        <v>#REF!</v>
      </c>
      <c r="BM7" s="135" t="e">
        <f>IF(BM17 = "Aero", Stats!AL7, IF(BM17 = "Chassis", Stats!AM7, IF(BM17 = "Suspension", Stats!AN7, IF(BM17 = "Engine", Stats!AO7, 0))))</f>
        <v>#REF!</v>
      </c>
      <c r="BN7" s="135" t="e">
        <f t="shared" si="11"/>
        <v>#REF!</v>
      </c>
      <c r="BO7" s="167" t="e">
        <f t="shared" si="25"/>
        <v>#REF!</v>
      </c>
      <c r="BP7" s="135">
        <f>IF(BP17 = "Aero", Stats!X7, IF(BP17 = "Chassis", Stats!Y7, IF(BP17 = "Suspension", SUM(Stats!Z7:'Stats'!AA7), 0)))</f>
        <v>0</v>
      </c>
      <c r="BQ7" s="135" t="e">
        <f>IF(BQ17 = "Aero", Stats!AL7, IF(BQ17 = "Chassis", Stats!AM7, IF(BQ17 = "Suspension", Stats!AN7, IF(BQ17 = "Engine", Stats!AO7, 0))))</f>
        <v>#REF!</v>
      </c>
      <c r="BR7" s="135" t="e">
        <f>IF(BR17 = "Aero", Stats!AL7, IF(BR17 = "Chassis", Stats!AM7, IF(BR17 = "Suspension", Stats!AN7, IF(BR17 = "Engine", Stats!AO7, 0))))</f>
        <v>#REF!</v>
      </c>
      <c r="BS7" s="135" t="e">
        <f t="shared" si="12"/>
        <v>#REF!</v>
      </c>
      <c r="BT7" s="167" t="e">
        <f t="shared" si="26"/>
        <v>#REF!</v>
      </c>
      <c r="BU7" s="135">
        <f>IF(BU17 = "Aero", Stats!X7, IF(BU17 = "Chassis", Stats!Y7, IF(BU17 = "Suspension", SUM(Stats!Z7:'Stats'!AA7), 0)))</f>
        <v>0</v>
      </c>
      <c r="BV7" s="135" t="e">
        <f>IF(BV17 = "Aero", Stats!AL7, IF(BV17 = "Chassis", Stats!AM7, IF(BV17 = "Suspension", Stats!AN7, IF(BV17 = "Engine", Stats!AO7, 0))))</f>
        <v>#REF!</v>
      </c>
      <c r="BW7" s="135" t="e">
        <f>IF(BW17 = "Aero", Stats!AL7, IF(BW17 = "Chassis", Stats!AM7, IF(BW17 = "Suspension", Stats!AN7, IF(BW17 = "Engine", Stats!AO7, 0))))</f>
        <v>#REF!</v>
      </c>
      <c r="BX7" s="135" t="e">
        <f t="shared" si="13"/>
        <v>#REF!</v>
      </c>
      <c r="BY7" s="167" t="e">
        <f t="shared" si="27"/>
        <v>#REF!</v>
      </c>
      <c r="BZ7" s="135">
        <f>IF(BZ17 = "Aero", Stats!X7, IF(BZ17 = "Chassis", Stats!Y7, IF(BZ17 = "Suspension", SUM(Stats!Z7:'Stats'!AA7), 0)))</f>
        <v>0</v>
      </c>
      <c r="CA7" s="135" t="e">
        <f>IF(CA17 = "Aero", Stats!AL7, IF(CA17 = "Chassis", Stats!AM7, IF(CA17 = "Suspension", Stats!AN7, IF(CA17 = "Engine", Stats!AO7, 0))))</f>
        <v>#REF!</v>
      </c>
      <c r="CB7" s="156" t="e">
        <f>IF(CB17 = "Aero", Stats!AL7, IF(CB17 = "Chassis", Stats!AM7, IF(CB17 = "Suspension", Stats!AN7, IF(CB17 = "Engine", Stats!AO7, 0))))</f>
        <v>#REF!</v>
      </c>
      <c r="CC7" s="144" t="e">
        <f t="shared" si="28"/>
        <v>#REF!</v>
      </c>
      <c r="CD7" s="144" t="e">
        <f t="shared" si="28"/>
        <v>#REF!</v>
      </c>
      <c r="CG7" s="4">
        <v>7</v>
      </c>
    </row>
    <row r="8" spans="2:85" ht="16.8" customHeight="1" x14ac:dyDescent="0.3">
      <c r="B8" s="131" t="str">
        <f>IF(Start!B8 &lt;&gt; "", Start!B8, "")</f>
        <v>Blue Flag Racing</v>
      </c>
      <c r="C8" s="11" t="str">
        <f>IF(Start!C8 &lt;&gt; "", Start!C8, "")</f>
        <v>Reynard</v>
      </c>
      <c r="D8" s="11" t="str">
        <f>IF(Start!D8 &lt;&gt; "", Start!D8, "")</f>
        <v>Honda</v>
      </c>
      <c r="E8" s="11" t="str">
        <f>IF(Start!E8 &lt;&gt; "", Start!E8, "")</f>
        <v>Firestone</v>
      </c>
      <c r="H8" s="144">
        <f>Stats!AQ8</f>
        <v>699</v>
      </c>
      <c r="K8" s="150" t="e">
        <f t="shared" si="0"/>
        <v>#REF!</v>
      </c>
      <c r="L8" s="167" t="e">
        <f t="shared" si="14"/>
        <v>#REF!</v>
      </c>
      <c r="M8" s="165">
        <f>IF(M17 = "Aero", Stats!X8, IF(M17 = "Chassis", Stats!Y8, IF(M17 = "Suspension", SUM(Stats!Z8:'Stats'!AA8), 0)))</f>
        <v>0</v>
      </c>
      <c r="N8" s="135" t="e">
        <f>IF(N17 = "Aero", Stats!AL8, IF(N17 = "Chassis", Stats!AM8, IF(N17 = "Suspension", Stats!AN8, IF(N17 = "Engine", Stats!AO8, 0))))</f>
        <v>#REF!</v>
      </c>
      <c r="O8" s="135" t="e">
        <f>IF(O17 = "Aero", Stats!AL8, IF(O17 = "Chassis", Stats!AM8, IF(O17 = "Suspension", Stats!AN8, IF(O17 = "Engine", Stats!AO8, 0))))</f>
        <v>#REF!</v>
      </c>
      <c r="P8" s="135" t="e">
        <f t="shared" si="1"/>
        <v>#REF!</v>
      </c>
      <c r="Q8" s="167" t="e">
        <f t="shared" si="15"/>
        <v>#REF!</v>
      </c>
      <c r="R8" s="135">
        <f>IF(R17 = "Aero", Stats!X8, IF(R17 = "Chassis", Stats!Y8, IF(R17 = "Suspension", SUM(Stats!Z8:'Stats'!AA8), 0)))</f>
        <v>0</v>
      </c>
      <c r="S8" s="135" t="e">
        <f>IF(S17 = "Aero", Stats!AL8, IF(S17 = "Chassis", Stats!AM8, IF(S17 = "Suspension", Stats!AN8, IF(S17 = "Engine", Stats!AO8, 0))))</f>
        <v>#REF!</v>
      </c>
      <c r="T8" s="135" t="e">
        <f>IF(T17 = "Aero", Stats!AL8, IF(T17 = "Chassis", Stats!AM8, IF(T17 = "Suspension", Stats!AN8, IF(T17 = "Engine", Stats!AO8, 0))))</f>
        <v>#REF!</v>
      </c>
      <c r="U8" s="135" t="e">
        <f t="shared" si="2"/>
        <v>#N/A</v>
      </c>
      <c r="V8" s="167" t="e">
        <f t="shared" si="16"/>
        <v>#N/A</v>
      </c>
      <c r="W8" s="135" t="e">
        <f>IF(W17 = "Aero", Stats!X8, IF(W17 = "Chassis", Stats!Y8, IF(W17 = "Suspension", SUM(Stats!Z8:'Stats'!AA8), 0)))</f>
        <v>#N/A</v>
      </c>
      <c r="X8" s="135" t="e">
        <f>IF(X17 = "Aero", Stats!AL8, IF(X17 = "Chassis", Stats!AM8, IF(X17 = "Suspension", Stats!AN8, IF(X17 = "Engine", Stats!AO8, 0))))</f>
        <v>#N/A</v>
      </c>
      <c r="Y8" s="135" t="e">
        <f>IF(Y17 = "Aero", Stats!AL8, IF(Y17 = "Chassis", Stats!AM8, IF(Y17 = "Suspension", Stats!AN8, IF(Y17 = "Engine", Stats!AO8, 0))))</f>
        <v>#N/A</v>
      </c>
      <c r="Z8" s="135" t="e">
        <f t="shared" si="3"/>
        <v>#REF!</v>
      </c>
      <c r="AA8" s="167" t="e">
        <f t="shared" si="17"/>
        <v>#REF!</v>
      </c>
      <c r="AB8" s="135">
        <f>IF(AB17 = "Aero", Stats!X8, IF(AB17 = "Chassis", Stats!Y8, IF(AB17 = "Suspension", SUM(Stats!Z8:'Stats'!AA8), 0)))</f>
        <v>0</v>
      </c>
      <c r="AC8" s="135" t="e">
        <f>IF(AC17 = "Aero", Stats!AL8, IF(AC17 = "Chassis", Stats!AM8, IF(AC17 = "Suspension", Stats!AN8, IF(AC17 = "Engine", Stats!AO8, 0))))</f>
        <v>#REF!</v>
      </c>
      <c r="AD8" s="135" t="e">
        <f>IF(AD17 = "Aero", Stats!AL8, IF(AD17 = "Chassis", Stats!AM8, IF(AD17 = "Suspension", Stats!AN8, IF(AD17 = "Engine", Stats!AO8, 0))))</f>
        <v>#REF!</v>
      </c>
      <c r="AE8" s="135" t="e">
        <f t="shared" si="4"/>
        <v>#REF!</v>
      </c>
      <c r="AF8" s="167" t="e">
        <f t="shared" si="18"/>
        <v>#REF!</v>
      </c>
      <c r="AG8" s="135">
        <f>IF(AG17 = "Aero", Stats!X8, IF(AG17 = "Chassis", Stats!Y8, IF(AG17 = "Suspension", SUM(Stats!Z8:'Stats'!AA8), 0)))</f>
        <v>10</v>
      </c>
      <c r="AH8" s="135" t="e">
        <f>IF(AH17 = "Aero", Stats!AL8, IF(AH17 = "Chassis", Stats!AM8, IF(AH17 = "Suspension", Stats!AN8, IF(AH17 = "Engine", Stats!AO8, 0))))</f>
        <v>#REF!</v>
      </c>
      <c r="AI8" s="135" t="e">
        <f>IF(AI17 = "Aero", Stats!AL8, IF(AI17 = "Chassis", Stats!AM8, IF(AI17 = "Suspension", Stats!AN8, IF(AI17 = "Engine", Stats!AO8, 0))))</f>
        <v>#REF!</v>
      </c>
      <c r="AJ8" s="135" t="e">
        <f t="shared" si="5"/>
        <v>#REF!</v>
      </c>
      <c r="AK8" s="167" t="e">
        <f t="shared" si="19"/>
        <v>#REF!</v>
      </c>
      <c r="AL8" s="135">
        <f>IF(AL17 = "Aero", Stats!X8, IF(AL17 = "Chassis", Stats!Y8, IF(AL17 = "Suspension", SUM(Stats!Z8:'Stats'!AA8), 0)))</f>
        <v>10</v>
      </c>
      <c r="AM8" s="135" t="e">
        <f>IF(AM17 = "Aero", Stats!AL8, IF(AM17 = "Chassis", Stats!AM8, IF(AM17 = "Suspension", Stats!AN8, IF(AM17 = "Engine", Stats!AO8, 0))))</f>
        <v>#REF!</v>
      </c>
      <c r="AN8" s="135" t="e">
        <f>IF(AN17 = "Aero", Stats!AL8, IF(AN17 = "Chassis", Stats!AM8, IF(AN17 = "Suspension", Stats!AN8, IF(AN17 = "Engine", Stats!AO8, 0))))</f>
        <v>#REF!</v>
      </c>
      <c r="AO8" s="135" t="e">
        <f t="shared" si="6"/>
        <v>#REF!</v>
      </c>
      <c r="AP8" s="167" t="e">
        <f t="shared" si="20"/>
        <v>#REF!</v>
      </c>
      <c r="AQ8" s="135">
        <f>IF(AQ17 = "Aero", Stats!X8, IF(AQ17 = "Chassis", Stats!Y8, IF(AQ17 = "Suspension", SUM(Stats!Z8:'Stats'!AA8), 0)))</f>
        <v>10</v>
      </c>
      <c r="AR8" s="135" t="e">
        <f>IF(AR17 = "Aero", Stats!AL8, IF(AR17 = "Chassis", Stats!AM8, IF(AR17 = "Suspension", Stats!AN8, IF(AR17 = "Engine", Stats!AO8, 0))))</f>
        <v>#REF!</v>
      </c>
      <c r="AS8" s="135" t="e">
        <f>IF(AS17 = "Aero", Stats!AL8, IF(AS17 = "Chassis", Stats!AM8, IF(AS17 = "Suspension", Stats!AN8, IF(AS17 = "Engine", Stats!AO8, 0))))</f>
        <v>#REF!</v>
      </c>
      <c r="AT8" s="135" t="e">
        <f t="shared" si="7"/>
        <v>#REF!</v>
      </c>
      <c r="AU8" s="167" t="e">
        <f t="shared" si="21"/>
        <v>#REF!</v>
      </c>
      <c r="AV8" s="135">
        <f>IF(AV17 = "Aero", Stats!X8, IF(AV17 = "Chassis", Stats!Y8, IF(AV17 = "Suspension", SUM(Stats!Z8:'Stats'!AA8), 0)))</f>
        <v>8</v>
      </c>
      <c r="AW8" s="135" t="e">
        <f>IF(AW17 = "Aero", Stats!AL8, IF(AW17 = "Chassis", Stats!AM8, IF(AW17 = "Suspension", Stats!AN8, IF(AW17 = "Engine", Stats!AO8, 0))))</f>
        <v>#REF!</v>
      </c>
      <c r="AX8" s="135" t="e">
        <f>IF(AX17 = "Aero", Stats!AL8, IF(AX17 = "Chassis", Stats!AM8, IF(AX17 = "Suspension", Stats!AN8, IF(AX17 = "Engine", Stats!AO8, 0))))</f>
        <v>#REF!</v>
      </c>
      <c r="AY8" s="135" t="e">
        <f t="shared" si="8"/>
        <v>#REF!</v>
      </c>
      <c r="AZ8" s="167" t="e">
        <f t="shared" si="22"/>
        <v>#REF!</v>
      </c>
      <c r="BA8" s="135">
        <f>IF(BA17 = "Aero", Stats!X8, IF(BA17 = "Chassis", Stats!Y8, IF(BA17 = "Suspension", SUM(Stats!Z8:'Stats'!AA8), 0)))</f>
        <v>8</v>
      </c>
      <c r="BB8" s="135" t="e">
        <f>IF(BB17 = "Aero", Stats!AL8, IF(BB17 = "Chassis", Stats!AM8, IF(BB17 = "Suspension", Stats!AN8, IF(BB17 = "Engine", Stats!AO8, 0))))</f>
        <v>#REF!</v>
      </c>
      <c r="BC8" s="135" t="e">
        <f>IF(BC17 = "Aero", Stats!AL8, IF(BC17 = "Chassis", Stats!AM8, IF(BC17 = "Suspension", Stats!AN8, IF(BC17 = "Engine", Stats!AO8, 0))))</f>
        <v>#REF!</v>
      </c>
      <c r="BD8" s="135" t="e">
        <f t="shared" si="9"/>
        <v>#REF!</v>
      </c>
      <c r="BE8" s="167" t="e">
        <f t="shared" si="23"/>
        <v>#REF!</v>
      </c>
      <c r="BF8" s="135">
        <f>IF(BF17 = "Aero", Stats!X8, IF(BF17 = "Chassis", Stats!Y8, IF(BF17 = "Suspension", SUM(Stats!Z8:'Stats'!AA8), 0)))</f>
        <v>0</v>
      </c>
      <c r="BG8" s="135" t="e">
        <f>IF(BG17 = "Aero", Stats!AL8, IF(BG17 = "Chassis", Stats!AM8, IF(BG17 = "Suspension", Stats!AN8, IF(BG17 = "Engine", Stats!AO8, 0))))</f>
        <v>#REF!</v>
      </c>
      <c r="BH8" s="135" t="e">
        <f>IF(BH17 = "Aero", Stats!AL8, IF(BH17 = "Chassis", Stats!AM8, IF(BH17 = "Suspension", Stats!AN8, IF(BH17 = "Engine", Stats!AO8, 0))))</f>
        <v>#REF!</v>
      </c>
      <c r="BI8" s="135" t="e">
        <f t="shared" si="10"/>
        <v>#REF!</v>
      </c>
      <c r="BJ8" s="167" t="e">
        <f t="shared" si="24"/>
        <v>#REF!</v>
      </c>
      <c r="BK8" s="135">
        <f>IF(BK17 = "Aero", Stats!X8, IF(BK17 = "Chassis", Stats!Y8, IF(BK17 = "Suspension", SUM(Stats!Z8:'Stats'!AA8), 0)))</f>
        <v>10</v>
      </c>
      <c r="BL8" s="135" t="e">
        <f>IF(BL17 = "Aero", Stats!AL8, IF(BL17 = "Chassis", Stats!AM8, IF(BL17 = "Suspension", Stats!AN8, IF(BL17 = "Engine", Stats!AO8, 0))))</f>
        <v>#REF!</v>
      </c>
      <c r="BM8" s="135" t="e">
        <f>IF(BM17 = "Aero", Stats!AL8, IF(BM17 = "Chassis", Stats!AM8, IF(BM17 = "Suspension", Stats!AN8, IF(BM17 = "Engine", Stats!AO8, 0))))</f>
        <v>#REF!</v>
      </c>
      <c r="BN8" s="135" t="e">
        <f t="shared" si="11"/>
        <v>#REF!</v>
      </c>
      <c r="BO8" s="167" t="e">
        <f t="shared" si="25"/>
        <v>#REF!</v>
      </c>
      <c r="BP8" s="135">
        <f>IF(BP17 = "Aero", Stats!X8, IF(BP17 = "Chassis", Stats!Y8, IF(BP17 = "Suspension", SUM(Stats!Z8:'Stats'!AA8), 0)))</f>
        <v>0</v>
      </c>
      <c r="BQ8" s="135" t="e">
        <f>IF(BQ17 = "Aero", Stats!AL8, IF(BQ17 = "Chassis", Stats!AM8, IF(BQ17 = "Suspension", Stats!AN8, IF(BQ17 = "Engine", Stats!AO8, 0))))</f>
        <v>#REF!</v>
      </c>
      <c r="BR8" s="135" t="e">
        <f>IF(BR17 = "Aero", Stats!AL8, IF(BR17 = "Chassis", Stats!AM8, IF(BR17 = "Suspension", Stats!AN8, IF(BR17 = "Engine", Stats!AO8, 0))))</f>
        <v>#REF!</v>
      </c>
      <c r="BS8" s="135" t="e">
        <f t="shared" si="12"/>
        <v>#REF!</v>
      </c>
      <c r="BT8" s="167" t="e">
        <f t="shared" si="26"/>
        <v>#REF!</v>
      </c>
      <c r="BU8" s="135">
        <f>IF(BU17 = "Aero", Stats!X8, IF(BU17 = "Chassis", Stats!Y8, IF(BU17 = "Suspension", SUM(Stats!Z8:'Stats'!AA8), 0)))</f>
        <v>0</v>
      </c>
      <c r="BV8" s="135" t="e">
        <f>IF(BV17 = "Aero", Stats!AL8, IF(BV17 = "Chassis", Stats!AM8, IF(BV17 = "Suspension", Stats!AN8, IF(BV17 = "Engine", Stats!AO8, 0))))</f>
        <v>#REF!</v>
      </c>
      <c r="BW8" s="135" t="e">
        <f>IF(BW17 = "Aero", Stats!AL8, IF(BW17 = "Chassis", Stats!AM8, IF(BW17 = "Suspension", Stats!AN8, IF(BW17 = "Engine", Stats!AO8, 0))))</f>
        <v>#REF!</v>
      </c>
      <c r="BX8" s="135" t="e">
        <f t="shared" si="13"/>
        <v>#REF!</v>
      </c>
      <c r="BY8" s="167" t="e">
        <f t="shared" si="27"/>
        <v>#REF!</v>
      </c>
      <c r="BZ8" s="135">
        <f>IF(BZ17 = "Aero", Stats!X8, IF(BZ17 = "Chassis", Stats!Y8, IF(BZ17 = "Suspension", SUM(Stats!Z8:'Stats'!AA8), 0)))</f>
        <v>0</v>
      </c>
      <c r="CA8" s="135" t="e">
        <f>IF(CA17 = "Aero", Stats!AL8, IF(CA17 = "Chassis", Stats!AM8, IF(CA17 = "Suspension", Stats!AN8, IF(CA17 = "Engine", Stats!AO8, 0))))</f>
        <v>#REF!</v>
      </c>
      <c r="CB8" s="156" t="e">
        <f>IF(CB17 = "Aero", Stats!AL8, IF(CB17 = "Chassis", Stats!AM8, IF(CB17 = "Suspension", Stats!AN8, IF(CB17 = "Engine", Stats!AO8, 0))))</f>
        <v>#REF!</v>
      </c>
      <c r="CC8" s="144" t="e">
        <f t="shared" si="28"/>
        <v>#REF!</v>
      </c>
      <c r="CD8" s="144" t="e">
        <f t="shared" si="28"/>
        <v>#REF!</v>
      </c>
      <c r="CG8" s="4">
        <v>2</v>
      </c>
    </row>
    <row r="9" spans="2:85" ht="16.8" customHeight="1" x14ac:dyDescent="0.3">
      <c r="B9" s="139" t="str">
        <f>IF(Start!B9 &lt;&gt; "", Start!B9, "")</f>
        <v>98-99 Racing</v>
      </c>
      <c r="C9" s="11" t="str">
        <f>IF(Start!C9 &lt;&gt; "", Start!C9, "")</f>
        <v>March</v>
      </c>
      <c r="D9" s="11" t="str">
        <f>IF(Start!D9 &lt;&gt; "", Start!D9, "")</f>
        <v>Porsche</v>
      </c>
      <c r="E9" s="11" t="str">
        <f>IF(Start!E9 &lt;&gt; "", Start!E9, "")</f>
        <v>Pirelli</v>
      </c>
      <c r="H9" s="144">
        <f>Stats!AQ9</f>
        <v>694</v>
      </c>
      <c r="K9" s="150" t="e">
        <f t="shared" si="0"/>
        <v>#REF!</v>
      </c>
      <c r="L9" s="167" t="e">
        <f t="shared" si="14"/>
        <v>#REF!</v>
      </c>
      <c r="M9" s="165">
        <f>IF(M17 = "Aero", Stats!X9, IF(M17 = "Chassis", Stats!Y9, IF(M17 = "Suspension", SUM(Stats!Z9:'Stats'!AA9), 0)))</f>
        <v>0</v>
      </c>
      <c r="N9" s="135" t="e">
        <f>IF(N17 = "Aero", Stats!AL9, IF(N17 = "Chassis", Stats!AM9, IF(N17 = "Suspension", Stats!AN9, IF(N17 = "Engine", Stats!AO9, 0))))</f>
        <v>#REF!</v>
      </c>
      <c r="O9" s="135" t="e">
        <f>IF(O17 = "Aero", Stats!AL9, IF(O17 = "Chassis", Stats!AM9, IF(O17 = "Suspension", Stats!AN9, IF(O17 = "Engine", Stats!AO9, 0))))</f>
        <v>#REF!</v>
      </c>
      <c r="P9" s="135" t="e">
        <f t="shared" si="1"/>
        <v>#REF!</v>
      </c>
      <c r="Q9" s="167" t="e">
        <f t="shared" si="15"/>
        <v>#REF!</v>
      </c>
      <c r="R9" s="135">
        <f>IF(R17 = "Aero", Stats!X9, IF(R17 = "Chassis", Stats!Y9, IF(R17 = "Suspension", SUM(Stats!Z9:'Stats'!AA9), 0)))</f>
        <v>0</v>
      </c>
      <c r="S9" s="135" t="e">
        <f>IF(S17 = "Aero", Stats!AL9, IF(S17 = "Chassis", Stats!AM9, IF(S17 = "Suspension", Stats!AN9, IF(S17 = "Engine", Stats!AO9, 0))))</f>
        <v>#REF!</v>
      </c>
      <c r="T9" s="135" t="e">
        <f>IF(T17 = "Aero", Stats!AL9, IF(T17 = "Chassis", Stats!AM9, IF(T17 = "Suspension", Stats!AN9, IF(T17 = "Engine", Stats!AO9, 0))))</f>
        <v>#REF!</v>
      </c>
      <c r="U9" s="135" t="e">
        <f t="shared" si="2"/>
        <v>#N/A</v>
      </c>
      <c r="V9" s="167" t="e">
        <f t="shared" si="16"/>
        <v>#N/A</v>
      </c>
      <c r="W9" s="135" t="e">
        <f>IF(W17 = "Aero", Stats!X9, IF(W17 = "Chassis", Stats!Y9, IF(W17 = "Suspension", SUM(Stats!Z9:'Stats'!AA9), 0)))</f>
        <v>#N/A</v>
      </c>
      <c r="X9" s="135" t="e">
        <f>IF(X17 = "Aero", Stats!AL9, IF(X17 = "Chassis", Stats!AM9, IF(X17 = "Suspension", Stats!AN9, IF(X17 = "Engine", Stats!AO9, 0))))</f>
        <v>#N/A</v>
      </c>
      <c r="Y9" s="135" t="e">
        <f>IF(Y17 = "Aero", Stats!AL9, IF(Y17 = "Chassis", Stats!AM9, IF(Y17 = "Suspension", Stats!AN9, IF(Y17 = "Engine", Stats!AO9, 0))))</f>
        <v>#N/A</v>
      </c>
      <c r="Z9" s="135" t="e">
        <f t="shared" si="3"/>
        <v>#REF!</v>
      </c>
      <c r="AA9" s="167" t="e">
        <f t="shared" si="17"/>
        <v>#REF!</v>
      </c>
      <c r="AB9" s="135">
        <f>IF(AB17 = "Aero", Stats!X9, IF(AB17 = "Chassis", Stats!Y9, IF(AB17 = "Suspension", SUM(Stats!Z9:'Stats'!AA9), 0)))</f>
        <v>0</v>
      </c>
      <c r="AC9" s="135" t="e">
        <f>IF(AC17 = "Aero", Stats!AL9, IF(AC17 = "Chassis", Stats!AM9, IF(AC17 = "Suspension", Stats!AN9, IF(AC17 = "Engine", Stats!AO9, 0))))</f>
        <v>#REF!</v>
      </c>
      <c r="AD9" s="135" t="e">
        <f>IF(AD17 = "Aero", Stats!AL9, IF(AD17 = "Chassis", Stats!AM9, IF(AD17 = "Suspension", Stats!AN9, IF(AD17 = "Engine", Stats!AO9, 0))))</f>
        <v>#REF!</v>
      </c>
      <c r="AE9" s="135" t="e">
        <f t="shared" si="4"/>
        <v>#REF!</v>
      </c>
      <c r="AF9" s="167" t="e">
        <f t="shared" si="18"/>
        <v>#REF!</v>
      </c>
      <c r="AG9" s="135">
        <f>IF(AG17 = "Aero", Stats!X9, IF(AG17 = "Chassis", Stats!Y9, IF(AG17 = "Suspension", SUM(Stats!Z9:'Stats'!AA9), 0)))</f>
        <v>14</v>
      </c>
      <c r="AH9" s="135" t="e">
        <f>IF(AH17 = "Aero", Stats!AL9, IF(AH17 = "Chassis", Stats!AM9, IF(AH17 = "Suspension", Stats!AN9, IF(AH17 = "Engine", Stats!AO9, 0))))</f>
        <v>#REF!</v>
      </c>
      <c r="AI9" s="135" t="e">
        <f>IF(AI17 = "Aero", Stats!AL9, IF(AI17 = "Chassis", Stats!AM9, IF(AI17 = "Suspension", Stats!AN9, IF(AI17 = "Engine", Stats!AO9, 0))))</f>
        <v>#REF!</v>
      </c>
      <c r="AJ9" s="135" t="e">
        <f t="shared" si="5"/>
        <v>#REF!</v>
      </c>
      <c r="AK9" s="167" t="e">
        <f t="shared" si="19"/>
        <v>#REF!</v>
      </c>
      <c r="AL9" s="135">
        <f>IF(AL17 = "Aero", Stats!X9, IF(AL17 = "Chassis", Stats!Y9, IF(AL17 = "Suspension", SUM(Stats!Z9:'Stats'!AA9), 0)))</f>
        <v>14</v>
      </c>
      <c r="AM9" s="135" t="e">
        <f>IF(AM17 = "Aero", Stats!AL9, IF(AM17 = "Chassis", Stats!AM9, IF(AM17 = "Suspension", Stats!AN9, IF(AM17 = "Engine", Stats!AO9, 0))))</f>
        <v>#REF!</v>
      </c>
      <c r="AN9" s="135" t="e">
        <f>IF(AN17 = "Aero", Stats!AL9, IF(AN17 = "Chassis", Stats!AM9, IF(AN17 = "Suspension", Stats!AN9, IF(AN17 = "Engine", Stats!AO9, 0))))</f>
        <v>#REF!</v>
      </c>
      <c r="AO9" s="135" t="e">
        <f t="shared" si="6"/>
        <v>#REF!</v>
      </c>
      <c r="AP9" s="167" t="e">
        <f t="shared" si="20"/>
        <v>#REF!</v>
      </c>
      <c r="AQ9" s="135">
        <f>IF(AQ17 = "Aero", Stats!X9, IF(AQ17 = "Chassis", Stats!Y9, IF(AQ17 = "Suspension", SUM(Stats!Z9:'Stats'!AA9), 0)))</f>
        <v>14</v>
      </c>
      <c r="AR9" s="135" t="e">
        <f>IF(AR17 = "Aero", Stats!AL9, IF(AR17 = "Chassis", Stats!AM9, IF(AR17 = "Suspension", Stats!AN9, IF(AR17 = "Engine", Stats!AO9, 0))))</f>
        <v>#REF!</v>
      </c>
      <c r="AS9" s="135" t="e">
        <f>IF(AS17 = "Aero", Stats!AL9, IF(AS17 = "Chassis", Stats!AM9, IF(AS17 = "Suspension", Stats!AN9, IF(AS17 = "Engine", Stats!AO9, 0))))</f>
        <v>#REF!</v>
      </c>
      <c r="AT9" s="135" t="e">
        <f t="shared" si="7"/>
        <v>#REF!</v>
      </c>
      <c r="AU9" s="167" t="e">
        <f t="shared" si="21"/>
        <v>#REF!</v>
      </c>
      <c r="AV9" s="135">
        <f>IF(AV17 = "Aero", Stats!X9, IF(AV17 = "Chassis", Stats!Y9, IF(AV17 = "Suspension", SUM(Stats!Z9:'Stats'!AA9), 0)))</f>
        <v>4</v>
      </c>
      <c r="AW9" s="135" t="e">
        <f>IF(AW17 = "Aero", Stats!AL9, IF(AW17 = "Chassis", Stats!AM9, IF(AW17 = "Suspension", Stats!AN9, IF(AW17 = "Engine", Stats!AO9, 0))))</f>
        <v>#REF!</v>
      </c>
      <c r="AX9" s="135" t="e">
        <f>IF(AX17 = "Aero", Stats!AL9, IF(AX17 = "Chassis", Stats!AM9, IF(AX17 = "Suspension", Stats!AN9, IF(AX17 = "Engine", Stats!AO9, 0))))</f>
        <v>#REF!</v>
      </c>
      <c r="AY9" s="135" t="e">
        <f t="shared" si="8"/>
        <v>#REF!</v>
      </c>
      <c r="AZ9" s="167" t="e">
        <f t="shared" si="22"/>
        <v>#REF!</v>
      </c>
      <c r="BA9" s="135">
        <f>IF(BA17 = "Aero", Stats!X9, IF(BA17 = "Chassis", Stats!Y9, IF(BA17 = "Suspension", SUM(Stats!Z9:'Stats'!AA9), 0)))</f>
        <v>4</v>
      </c>
      <c r="BB9" s="135" t="e">
        <f>IF(BB17 = "Aero", Stats!AL9, IF(BB17 = "Chassis", Stats!AM9, IF(BB17 = "Suspension", Stats!AN9, IF(BB17 = "Engine", Stats!AO9, 0))))</f>
        <v>#REF!</v>
      </c>
      <c r="BC9" s="135" t="e">
        <f>IF(BC17 = "Aero", Stats!AL9, IF(BC17 = "Chassis", Stats!AM9, IF(BC17 = "Suspension", Stats!AN9, IF(BC17 = "Engine", Stats!AO9, 0))))</f>
        <v>#REF!</v>
      </c>
      <c r="BD9" s="135" t="e">
        <f t="shared" si="9"/>
        <v>#REF!</v>
      </c>
      <c r="BE9" s="167" t="e">
        <f t="shared" si="23"/>
        <v>#REF!</v>
      </c>
      <c r="BF9" s="135">
        <f>IF(BF17 = "Aero", Stats!X9, IF(BF17 = "Chassis", Stats!Y9, IF(BF17 = "Suspension", SUM(Stats!Z9:'Stats'!AA9), 0)))</f>
        <v>0</v>
      </c>
      <c r="BG9" s="135" t="e">
        <f>IF(BG17 = "Aero", Stats!AL9, IF(BG17 = "Chassis", Stats!AM9, IF(BG17 = "Suspension", Stats!AN9, IF(BG17 = "Engine", Stats!AO9, 0))))</f>
        <v>#REF!</v>
      </c>
      <c r="BH9" s="135" t="e">
        <f>IF(BH17 = "Aero", Stats!AL9, IF(BH17 = "Chassis", Stats!AM9, IF(BH17 = "Suspension", Stats!AN9, IF(BH17 = "Engine", Stats!AO9, 0))))</f>
        <v>#REF!</v>
      </c>
      <c r="BI9" s="135" t="e">
        <f t="shared" si="10"/>
        <v>#REF!</v>
      </c>
      <c r="BJ9" s="167" t="e">
        <f t="shared" si="24"/>
        <v>#REF!</v>
      </c>
      <c r="BK9" s="135">
        <f>IF(BK17 = "Aero", Stats!X9, IF(BK17 = "Chassis", Stats!Y9, IF(BK17 = "Suspension", SUM(Stats!Z9:'Stats'!AA9), 0)))</f>
        <v>14</v>
      </c>
      <c r="BL9" s="135" t="e">
        <f>IF(BL17 = "Aero", Stats!AL9, IF(BL17 = "Chassis", Stats!AM9, IF(BL17 = "Suspension", Stats!AN9, IF(BL17 = "Engine", Stats!AO9, 0))))</f>
        <v>#REF!</v>
      </c>
      <c r="BM9" s="135" t="e">
        <f>IF(BM17 = "Aero", Stats!AL9, IF(BM17 = "Chassis", Stats!AM9, IF(BM17 = "Suspension", Stats!AN9, IF(BM17 = "Engine", Stats!AO9, 0))))</f>
        <v>#REF!</v>
      </c>
      <c r="BN9" s="135" t="e">
        <f t="shared" si="11"/>
        <v>#REF!</v>
      </c>
      <c r="BO9" s="167" t="e">
        <f t="shared" si="25"/>
        <v>#REF!</v>
      </c>
      <c r="BP9" s="135">
        <f>IF(BP17 = "Aero", Stats!X9, IF(BP17 = "Chassis", Stats!Y9, IF(BP17 = "Suspension", SUM(Stats!Z9:'Stats'!AA9), 0)))</f>
        <v>0</v>
      </c>
      <c r="BQ9" s="135" t="e">
        <f>IF(BQ17 = "Aero", Stats!AL9, IF(BQ17 = "Chassis", Stats!AM9, IF(BQ17 = "Suspension", Stats!AN9, IF(BQ17 = "Engine", Stats!AO9, 0))))</f>
        <v>#REF!</v>
      </c>
      <c r="BR9" s="135" t="e">
        <f>IF(BR17 = "Aero", Stats!AL9, IF(BR17 = "Chassis", Stats!AM9, IF(BR17 = "Suspension", Stats!AN9, IF(BR17 = "Engine", Stats!AO9, 0))))</f>
        <v>#REF!</v>
      </c>
      <c r="BS9" s="135" t="e">
        <f t="shared" si="12"/>
        <v>#REF!</v>
      </c>
      <c r="BT9" s="167" t="e">
        <f t="shared" si="26"/>
        <v>#REF!</v>
      </c>
      <c r="BU9" s="135">
        <f>IF(BU17 = "Aero", Stats!X9, IF(BU17 = "Chassis", Stats!Y9, IF(BU17 = "Suspension", SUM(Stats!Z9:'Stats'!AA9), 0)))</f>
        <v>0</v>
      </c>
      <c r="BV9" s="135" t="e">
        <f>IF(BV17 = "Aero", Stats!AL9, IF(BV17 = "Chassis", Stats!AM9, IF(BV17 = "Suspension", Stats!AN9, IF(BV17 = "Engine", Stats!AO9, 0))))</f>
        <v>#REF!</v>
      </c>
      <c r="BW9" s="135" t="e">
        <f>IF(BW17 = "Aero", Stats!AL9, IF(BW17 = "Chassis", Stats!AM9, IF(BW17 = "Suspension", Stats!AN9, IF(BW17 = "Engine", Stats!AO9, 0))))</f>
        <v>#REF!</v>
      </c>
      <c r="BX9" s="135" t="e">
        <f t="shared" si="13"/>
        <v>#REF!</v>
      </c>
      <c r="BY9" s="167" t="e">
        <f t="shared" si="27"/>
        <v>#REF!</v>
      </c>
      <c r="BZ9" s="135">
        <f>IF(BZ17 = "Aero", Stats!X9, IF(BZ17 = "Chassis", Stats!Y9, IF(BZ17 = "Suspension", SUM(Stats!Z9:'Stats'!AA9), 0)))</f>
        <v>0</v>
      </c>
      <c r="CA9" s="135" t="e">
        <f>IF(CA17 = "Aero", Stats!AL9, IF(CA17 = "Chassis", Stats!AM9, IF(CA17 = "Suspension", Stats!AN9, IF(CA17 = "Engine", Stats!AO9, 0))))</f>
        <v>#REF!</v>
      </c>
      <c r="CB9" s="156" t="e">
        <f>IF(CB17 = "Aero", Stats!AL9, IF(CB17 = "Chassis", Stats!AM9, IF(CB17 = "Suspension", Stats!AN9, IF(CB17 = "Engine", Stats!AO9, 0))))</f>
        <v>#REF!</v>
      </c>
      <c r="CC9" s="144" t="e">
        <f t="shared" si="28"/>
        <v>#REF!</v>
      </c>
      <c r="CD9" s="144" t="e">
        <f t="shared" si="28"/>
        <v>#REF!</v>
      </c>
      <c r="CG9" s="4">
        <v>5</v>
      </c>
    </row>
    <row r="10" spans="2:85" ht="16.8" customHeight="1" x14ac:dyDescent="0.3">
      <c r="B10" s="40" t="str">
        <f>IF(Start!B10 &lt;&gt; "", Start!B10, "")</f>
        <v>Project D Racing</v>
      </c>
      <c r="C10" s="11" t="str">
        <f>IF(Start!C10 &lt;&gt; "", Start!C10, "")</f>
        <v>Reynard</v>
      </c>
      <c r="D10" s="11" t="str">
        <f>IF(Start!D10 &lt;&gt; "", Start!D10, "")</f>
        <v>Toyota</v>
      </c>
      <c r="E10" s="11" t="str">
        <f>IF(Start!E10 &lt;&gt; "", Start!E10, "")</f>
        <v>Michelin</v>
      </c>
      <c r="H10" s="144">
        <f>Stats!AQ10</f>
        <v>685</v>
      </c>
      <c r="K10" s="150" t="e">
        <f t="shared" si="0"/>
        <v>#REF!</v>
      </c>
      <c r="L10" s="167" t="e">
        <f t="shared" si="14"/>
        <v>#REF!</v>
      </c>
      <c r="M10" s="165">
        <f>IF(M17 = "Aero", Stats!X10, IF(M17 = "Chassis", Stats!Y10, IF(M17 = "Suspension", SUM(Stats!Z10:'Stats'!AA10), 0)))</f>
        <v>0</v>
      </c>
      <c r="N10" s="135" t="e">
        <f>IF(N17 = "Aero", Stats!AL10, IF(N17 = "Chassis", Stats!AM10, IF(N17 = "Suspension", Stats!AN10, IF(N17 = "Engine", Stats!AO10, 0))))</f>
        <v>#REF!</v>
      </c>
      <c r="O10" s="135" t="e">
        <f>IF(O17 = "Aero", Stats!AL10, IF(O17 = "Chassis", Stats!AM10, IF(O17 = "Suspension", Stats!AN10, IF(O17 = "Engine", Stats!AO10, 0))))</f>
        <v>#REF!</v>
      </c>
      <c r="P10" s="135" t="e">
        <f t="shared" si="1"/>
        <v>#REF!</v>
      </c>
      <c r="Q10" s="167" t="e">
        <f t="shared" si="15"/>
        <v>#REF!</v>
      </c>
      <c r="R10" s="135">
        <f>IF(R17 = "Aero", Stats!X10, IF(R17 = "Chassis", Stats!Y10, IF(R17 = "Suspension", SUM(Stats!Z10:'Stats'!AA10), 0)))</f>
        <v>0</v>
      </c>
      <c r="S10" s="135" t="e">
        <f>IF(S17 = "Aero", Stats!AL10, IF(S17 = "Chassis", Stats!AM10, IF(S17 = "Suspension", Stats!AN10, IF(S17 = "Engine", Stats!AO10, 0))))</f>
        <v>#REF!</v>
      </c>
      <c r="T10" s="135" t="e">
        <f>IF(T17 = "Aero", Stats!AL10, IF(T17 = "Chassis", Stats!AM10, IF(T17 = "Suspension", Stats!AN10, IF(T17 = "Engine", Stats!AO10, 0))))</f>
        <v>#REF!</v>
      </c>
      <c r="U10" s="135" t="e">
        <f t="shared" si="2"/>
        <v>#N/A</v>
      </c>
      <c r="V10" s="167" t="e">
        <f t="shared" si="16"/>
        <v>#N/A</v>
      </c>
      <c r="W10" s="135" t="e">
        <f>IF(W17 = "Aero", Stats!X10, IF(W17 = "Chassis", Stats!Y10, IF(W17 = "Suspension", SUM(Stats!Z10:'Stats'!AA10), 0)))</f>
        <v>#N/A</v>
      </c>
      <c r="X10" s="135" t="e">
        <f>IF(X17 = "Aero", Stats!AL10, IF(X17 = "Chassis", Stats!AM10, IF(X17 = "Suspension", Stats!AN10, IF(X17 = "Engine", Stats!AO10, 0))))</f>
        <v>#N/A</v>
      </c>
      <c r="Y10" s="135" t="e">
        <f>IF(Y17 = "Aero", Stats!AL10, IF(Y17 = "Chassis", Stats!AM10, IF(Y17 = "Suspension", Stats!AN10, IF(Y17 = "Engine", Stats!AO10, 0))))</f>
        <v>#N/A</v>
      </c>
      <c r="Z10" s="135" t="e">
        <f t="shared" si="3"/>
        <v>#REF!</v>
      </c>
      <c r="AA10" s="167" t="e">
        <f t="shared" si="17"/>
        <v>#REF!</v>
      </c>
      <c r="AB10" s="135">
        <f>IF(AB17 = "Aero", Stats!X10, IF(AB17 = "Chassis", Stats!Y10, IF(AB17 = "Suspension", SUM(Stats!Z10:'Stats'!AA10), 0)))</f>
        <v>0</v>
      </c>
      <c r="AC10" s="135" t="e">
        <f>IF(AC17 = "Aero", Stats!AL10, IF(AC17 = "Chassis", Stats!AM10, IF(AC17 = "Suspension", Stats!AN10, IF(AC17 = "Engine", Stats!AO10, 0))))</f>
        <v>#REF!</v>
      </c>
      <c r="AD10" s="135" t="e">
        <f>IF(AD17 = "Aero", Stats!AL10, IF(AD17 = "Chassis", Stats!AM10, IF(AD17 = "Suspension", Stats!AN10, IF(AD17 = "Engine", Stats!AO10, 0))))</f>
        <v>#REF!</v>
      </c>
      <c r="AE10" s="135" t="e">
        <f t="shared" si="4"/>
        <v>#REF!</v>
      </c>
      <c r="AF10" s="167" t="e">
        <f t="shared" si="18"/>
        <v>#REF!</v>
      </c>
      <c r="AG10" s="135">
        <f>IF(AG17 = "Aero", Stats!X10, IF(AG17 = "Chassis", Stats!Y10, IF(AG17 = "Suspension", SUM(Stats!Z10:'Stats'!AA10), 0)))</f>
        <v>11</v>
      </c>
      <c r="AH10" s="135" t="e">
        <f>IF(AH17 = "Aero", Stats!AL10, IF(AH17 = "Chassis", Stats!AM10, IF(AH17 = "Suspension", Stats!AN10, IF(AH17 = "Engine", Stats!AO10, 0))))</f>
        <v>#REF!</v>
      </c>
      <c r="AI10" s="135" t="e">
        <f>IF(AI17 = "Aero", Stats!AL10, IF(AI17 = "Chassis", Stats!AM10, IF(AI17 = "Suspension", Stats!AN10, IF(AI17 = "Engine", Stats!AO10, 0))))</f>
        <v>#REF!</v>
      </c>
      <c r="AJ10" s="135" t="e">
        <f t="shared" si="5"/>
        <v>#REF!</v>
      </c>
      <c r="AK10" s="167" t="e">
        <f t="shared" si="19"/>
        <v>#REF!</v>
      </c>
      <c r="AL10" s="135">
        <f>IF(AL17 = "Aero", Stats!X10, IF(AL17 = "Chassis", Stats!Y10, IF(AL17 = "Suspension", SUM(Stats!Z10:'Stats'!AA10), 0)))</f>
        <v>11</v>
      </c>
      <c r="AM10" s="135" t="e">
        <f>IF(AM17 = "Aero", Stats!AL10, IF(AM17 = "Chassis", Stats!AM10, IF(AM17 = "Suspension", Stats!AN10, IF(AM17 = "Engine", Stats!AO10, 0))))</f>
        <v>#REF!</v>
      </c>
      <c r="AN10" s="135" t="e">
        <f>IF(AN17 = "Aero", Stats!AL10, IF(AN17 = "Chassis", Stats!AM10, IF(AN17 = "Suspension", Stats!AN10, IF(AN17 = "Engine", Stats!AO10, 0))))</f>
        <v>#REF!</v>
      </c>
      <c r="AO10" s="135" t="e">
        <f t="shared" si="6"/>
        <v>#REF!</v>
      </c>
      <c r="AP10" s="167" t="e">
        <f t="shared" si="20"/>
        <v>#REF!</v>
      </c>
      <c r="AQ10" s="135">
        <f>IF(AQ17 = "Aero", Stats!X10, IF(AQ17 = "Chassis", Stats!Y10, IF(AQ17 = "Suspension", SUM(Stats!Z10:'Stats'!AA10), 0)))</f>
        <v>11</v>
      </c>
      <c r="AR10" s="135" t="e">
        <f>IF(AR17 = "Aero", Stats!AL10, IF(AR17 = "Chassis", Stats!AM10, IF(AR17 = "Suspension", Stats!AN10, IF(AR17 = "Engine", Stats!AO10, 0))))</f>
        <v>#REF!</v>
      </c>
      <c r="AS10" s="135" t="e">
        <f>IF(AS17 = "Aero", Stats!AL10, IF(AS17 = "Chassis", Stats!AM10, IF(AS17 = "Suspension", Stats!AN10, IF(AS17 = "Engine", Stats!AO10, 0))))</f>
        <v>#REF!</v>
      </c>
      <c r="AT10" s="135" t="e">
        <f t="shared" si="7"/>
        <v>#REF!</v>
      </c>
      <c r="AU10" s="167" t="e">
        <f t="shared" si="21"/>
        <v>#REF!</v>
      </c>
      <c r="AV10" s="135">
        <f>IF(AV17 = "Aero", Stats!X10, IF(AV17 = "Chassis", Stats!Y10, IF(AV17 = "Suspension", SUM(Stats!Z10:'Stats'!AA10), 0)))</f>
        <v>7</v>
      </c>
      <c r="AW10" s="135" t="e">
        <f>IF(AW17 = "Aero", Stats!AL10, IF(AW17 = "Chassis", Stats!AM10, IF(AW17 = "Suspension", Stats!AN10, IF(AW17 = "Engine", Stats!AO10, 0))))</f>
        <v>#REF!</v>
      </c>
      <c r="AX10" s="135" t="e">
        <f>IF(AX17 = "Aero", Stats!AL10, IF(AX17 = "Chassis", Stats!AM10, IF(AX17 = "Suspension", Stats!AN10, IF(AX17 = "Engine", Stats!AO10, 0))))</f>
        <v>#REF!</v>
      </c>
      <c r="AY10" s="135" t="e">
        <f t="shared" si="8"/>
        <v>#REF!</v>
      </c>
      <c r="AZ10" s="167" t="e">
        <f t="shared" si="22"/>
        <v>#REF!</v>
      </c>
      <c r="BA10" s="135">
        <f>IF(BA17 = "Aero", Stats!X10, IF(BA17 = "Chassis", Stats!Y10, IF(BA17 = "Suspension", SUM(Stats!Z10:'Stats'!AA10), 0)))</f>
        <v>7</v>
      </c>
      <c r="BB10" s="135" t="e">
        <f>IF(BB17 = "Aero", Stats!AL10, IF(BB17 = "Chassis", Stats!AM10, IF(BB17 = "Suspension", Stats!AN10, IF(BB17 = "Engine", Stats!AO10, 0))))</f>
        <v>#REF!</v>
      </c>
      <c r="BC10" s="135" t="e">
        <f>IF(BC17 = "Aero", Stats!AL10, IF(BC17 = "Chassis", Stats!AM10, IF(BC17 = "Suspension", Stats!AN10, IF(BC17 = "Engine", Stats!AO10, 0))))</f>
        <v>#REF!</v>
      </c>
      <c r="BD10" s="135" t="e">
        <f t="shared" si="9"/>
        <v>#REF!</v>
      </c>
      <c r="BE10" s="167" t="e">
        <f t="shared" si="23"/>
        <v>#REF!</v>
      </c>
      <c r="BF10" s="135">
        <f>IF(BF17 = "Aero", Stats!X10, IF(BF17 = "Chassis", Stats!Y10, IF(BF17 = "Suspension", SUM(Stats!Z10:'Stats'!AA10), 0)))</f>
        <v>0</v>
      </c>
      <c r="BG10" s="135" t="e">
        <f>IF(BG17 = "Aero", Stats!AL10, IF(BG17 = "Chassis", Stats!AM10, IF(BG17 = "Suspension", Stats!AN10, IF(BG17 = "Engine", Stats!AO10, 0))))</f>
        <v>#REF!</v>
      </c>
      <c r="BH10" s="135" t="e">
        <f>IF(BH17 = "Aero", Stats!AL10, IF(BH17 = "Chassis", Stats!AM10, IF(BH17 = "Suspension", Stats!AN10, IF(BH17 = "Engine", Stats!AO10, 0))))</f>
        <v>#REF!</v>
      </c>
      <c r="BI10" s="135" t="e">
        <f t="shared" si="10"/>
        <v>#REF!</v>
      </c>
      <c r="BJ10" s="167" t="e">
        <f t="shared" si="24"/>
        <v>#REF!</v>
      </c>
      <c r="BK10" s="135">
        <f>IF(BK17 = "Aero", Stats!X10, IF(BK17 = "Chassis", Stats!Y10, IF(BK17 = "Suspension", SUM(Stats!Z10:'Stats'!AA10), 0)))</f>
        <v>11</v>
      </c>
      <c r="BL10" s="135" t="e">
        <f>IF(BL17 = "Aero", Stats!AL10, IF(BL17 = "Chassis", Stats!AM10, IF(BL17 = "Suspension", Stats!AN10, IF(BL17 = "Engine", Stats!AO10, 0))))</f>
        <v>#REF!</v>
      </c>
      <c r="BM10" s="135" t="e">
        <f>IF(BM17 = "Aero", Stats!AL10, IF(BM17 = "Chassis", Stats!AM10, IF(BM17 = "Suspension", Stats!AN10, IF(BM17 = "Engine", Stats!AO10, 0))))</f>
        <v>#REF!</v>
      </c>
      <c r="BN10" s="135" t="e">
        <f t="shared" si="11"/>
        <v>#REF!</v>
      </c>
      <c r="BO10" s="167" t="e">
        <f t="shared" si="25"/>
        <v>#REF!</v>
      </c>
      <c r="BP10" s="135">
        <f>IF(BP17 = "Aero", Stats!X10, IF(BP17 = "Chassis", Stats!Y10, IF(BP17 = "Suspension", SUM(Stats!Z10:'Stats'!AA10), 0)))</f>
        <v>0</v>
      </c>
      <c r="BQ10" s="135" t="e">
        <f>IF(BQ17 = "Aero", Stats!AL10, IF(BQ17 = "Chassis", Stats!AM10, IF(BQ17 = "Suspension", Stats!AN10, IF(BQ17 = "Engine", Stats!AO10, 0))))</f>
        <v>#REF!</v>
      </c>
      <c r="BR10" s="135" t="e">
        <f>IF(BR17 = "Aero", Stats!AL10, IF(BR17 = "Chassis", Stats!AM10, IF(BR17 = "Suspension", Stats!AN10, IF(BR17 = "Engine", Stats!AO10, 0))))</f>
        <v>#REF!</v>
      </c>
      <c r="BS10" s="135" t="e">
        <f t="shared" si="12"/>
        <v>#REF!</v>
      </c>
      <c r="BT10" s="167" t="e">
        <f t="shared" si="26"/>
        <v>#REF!</v>
      </c>
      <c r="BU10" s="135">
        <f>IF(BU17 = "Aero", Stats!X10, IF(BU17 = "Chassis", Stats!Y10, IF(BU17 = "Suspension", SUM(Stats!Z10:'Stats'!AA10), 0)))</f>
        <v>0</v>
      </c>
      <c r="BV10" s="135" t="e">
        <f>IF(BV17 = "Aero", Stats!AL10, IF(BV17 = "Chassis", Stats!AM10, IF(BV17 = "Suspension", Stats!AN10, IF(BV17 = "Engine", Stats!AO10, 0))))</f>
        <v>#REF!</v>
      </c>
      <c r="BW10" s="135" t="e">
        <f>IF(BW17 = "Aero", Stats!AL10, IF(BW17 = "Chassis", Stats!AM10, IF(BW17 = "Suspension", Stats!AN10, IF(BW17 = "Engine", Stats!AO10, 0))))</f>
        <v>#REF!</v>
      </c>
      <c r="BX10" s="135" t="e">
        <f t="shared" si="13"/>
        <v>#REF!</v>
      </c>
      <c r="BY10" s="167" t="e">
        <f t="shared" si="27"/>
        <v>#REF!</v>
      </c>
      <c r="BZ10" s="135">
        <f>IF(BZ17 = "Aero", Stats!X10, IF(BZ17 = "Chassis", Stats!Y10, IF(BZ17 = "Suspension", SUM(Stats!Z10:'Stats'!AA10), 0)))</f>
        <v>0</v>
      </c>
      <c r="CA10" s="135" t="e">
        <f>IF(CA17 = "Aero", Stats!AL10, IF(CA17 = "Chassis", Stats!AM10, IF(CA17 = "Suspension", Stats!AN10, IF(CA17 = "Engine", Stats!AO10, 0))))</f>
        <v>#REF!</v>
      </c>
      <c r="CB10" s="156" t="e">
        <f>IF(CB17 = "Aero", Stats!AL10, IF(CB17 = "Chassis", Stats!AM10, IF(CB17 = "Suspension", Stats!AN10, IF(CB17 = "Engine", Stats!AO10, 0))))</f>
        <v>#REF!</v>
      </c>
      <c r="CC10" s="144" t="e">
        <f t="shared" si="28"/>
        <v>#REF!</v>
      </c>
      <c r="CD10" s="144" t="e">
        <f t="shared" si="28"/>
        <v>#REF!</v>
      </c>
      <c r="CG10" s="4">
        <v>10</v>
      </c>
    </row>
    <row r="11" spans="2:85" ht="16.8" customHeight="1" x14ac:dyDescent="0.3">
      <c r="B11" s="41" t="s">
        <v>554</v>
      </c>
      <c r="C11" s="11" t="str">
        <f>IF(Start!C11 &lt;&gt; "", Start!C11, "")</f>
        <v>March</v>
      </c>
      <c r="D11" s="11" t="str">
        <f>IF(Start!D11 &lt;&gt; "", Start!D11, "")</f>
        <v>Honda</v>
      </c>
      <c r="E11" s="11" t="str">
        <f>IF(Start!E11 &lt;&gt; "", Start!E11, "")</f>
        <v>Firestone</v>
      </c>
      <c r="H11" s="144">
        <f>Stats!AQ11</f>
        <v>700</v>
      </c>
      <c r="K11" s="150" t="e">
        <f t="shared" si="0"/>
        <v>#REF!</v>
      </c>
      <c r="L11" s="167" t="e">
        <f t="shared" si="14"/>
        <v>#REF!</v>
      </c>
      <c r="M11" s="165">
        <f>IF(M17 = "Aero", Stats!X11, IF(M17 = "Chassis", Stats!Y11, IF(M17 = "Suspension", SUM(Stats!Z11:'Stats'!AA11), 0)))</f>
        <v>0</v>
      </c>
      <c r="N11" s="135" t="e">
        <f>IF(N17 = "Aero", Stats!AL11, IF(N17 = "Chassis", Stats!AM11, IF(N17 = "Suspension", Stats!AN11, IF(N17 = "Engine", Stats!AO11, 0))))</f>
        <v>#REF!</v>
      </c>
      <c r="O11" s="135" t="e">
        <f>IF(O17 = "Aero", Stats!AL11, IF(O17 = "Chassis", Stats!AM11, IF(O17 = "Suspension", Stats!AN11, IF(O17 = "Engine", Stats!AO11, 0))))</f>
        <v>#REF!</v>
      </c>
      <c r="P11" s="135" t="e">
        <f t="shared" si="1"/>
        <v>#REF!</v>
      </c>
      <c r="Q11" s="167" t="e">
        <f t="shared" si="15"/>
        <v>#REF!</v>
      </c>
      <c r="R11" s="135">
        <f>IF(R17 = "Aero", Stats!X11, IF(R17 = "Chassis", Stats!Y11, IF(R17 = "Suspension", SUM(Stats!Z11:'Stats'!AA11), 0)))</f>
        <v>0</v>
      </c>
      <c r="S11" s="135" t="e">
        <f>IF(S17 = "Aero", Stats!AL11, IF(S17 = "Chassis", Stats!AM11, IF(S17 = "Suspension", Stats!AN11, IF(S17 = "Engine", Stats!AO11, 0))))</f>
        <v>#REF!</v>
      </c>
      <c r="T11" s="135" t="e">
        <f>IF(T17 = "Aero", Stats!AL11, IF(T17 = "Chassis", Stats!AM11, IF(T17 = "Suspension", Stats!AN11, IF(T17 = "Engine", Stats!AO11, 0))))</f>
        <v>#REF!</v>
      </c>
      <c r="U11" s="135" t="e">
        <f t="shared" si="2"/>
        <v>#N/A</v>
      </c>
      <c r="V11" s="167" t="e">
        <f t="shared" si="16"/>
        <v>#N/A</v>
      </c>
      <c r="W11" s="135" t="e">
        <f>IF(W17 = "Aero", Stats!X11, IF(W17 = "Chassis", Stats!Y11, IF(W17 = "Suspension", SUM(Stats!Z11:'Stats'!AA11), 0)))</f>
        <v>#N/A</v>
      </c>
      <c r="X11" s="135" t="e">
        <f>IF(X17 = "Aero", Stats!AL11, IF(X17 = "Chassis", Stats!AM11, IF(X17 = "Suspension", Stats!AN11, IF(X17 = "Engine", Stats!AO11, 0))))</f>
        <v>#N/A</v>
      </c>
      <c r="Y11" s="135" t="e">
        <f>IF(Y17 = "Aero", Stats!AL11, IF(Y17 = "Chassis", Stats!AM11, IF(Y17 = "Suspension", Stats!AN11, IF(Y17 = "Engine", Stats!AO11, 0))))</f>
        <v>#N/A</v>
      </c>
      <c r="Z11" s="135" t="e">
        <f t="shared" si="3"/>
        <v>#REF!</v>
      </c>
      <c r="AA11" s="167" t="e">
        <f t="shared" si="17"/>
        <v>#REF!</v>
      </c>
      <c r="AB11" s="135">
        <f>IF(AB17 = "Aero", Stats!X11, IF(AB17 = "Chassis", Stats!Y11, IF(AB17 = "Suspension", SUM(Stats!Z11:'Stats'!AA11), 0)))</f>
        <v>0</v>
      </c>
      <c r="AC11" s="135" t="e">
        <f>IF(AC17 = "Aero", Stats!AL11, IF(AC17 = "Chassis", Stats!AM11, IF(AC17 = "Suspension", Stats!AN11, IF(AC17 = "Engine", Stats!AO11, 0))))</f>
        <v>#REF!</v>
      </c>
      <c r="AD11" s="135" t="e">
        <f>IF(AD17 = "Aero", Stats!AL11, IF(AD17 = "Chassis", Stats!AM11, IF(AD17 = "Suspension", Stats!AN11, IF(AD17 = "Engine", Stats!AO11, 0))))</f>
        <v>#REF!</v>
      </c>
      <c r="AE11" s="135" t="e">
        <f t="shared" si="4"/>
        <v>#REF!</v>
      </c>
      <c r="AF11" s="167" t="e">
        <f t="shared" si="18"/>
        <v>#REF!</v>
      </c>
      <c r="AG11" s="135">
        <f>IF(AG17 = "Aero", Stats!X11, IF(AG17 = "Chassis", Stats!Y11, IF(AG17 = "Suspension", SUM(Stats!Z11:'Stats'!AA11), 0)))</f>
        <v>12</v>
      </c>
      <c r="AH11" s="135" t="e">
        <f>IF(AH17 = "Aero", Stats!AL11, IF(AH17 = "Chassis", Stats!AM11, IF(AH17 = "Suspension", Stats!AN11, IF(AH17 = "Engine", Stats!AO11, 0))))</f>
        <v>#REF!</v>
      </c>
      <c r="AI11" s="135" t="e">
        <f>IF(AI17 = "Aero", Stats!AL11, IF(AI17 = "Chassis", Stats!AM11, IF(AI17 = "Suspension", Stats!AN11, IF(AI17 = "Engine", Stats!AO11, 0))))</f>
        <v>#REF!</v>
      </c>
      <c r="AJ11" s="135" t="e">
        <f t="shared" si="5"/>
        <v>#REF!</v>
      </c>
      <c r="AK11" s="167" t="e">
        <f t="shared" si="19"/>
        <v>#REF!</v>
      </c>
      <c r="AL11" s="135">
        <f>IF(AL17 = "Aero", Stats!X11, IF(AL17 = "Chassis", Stats!Y11, IF(AL17 = "Suspension", SUM(Stats!Z11:'Stats'!AA11), 0)))</f>
        <v>12</v>
      </c>
      <c r="AM11" s="135" t="e">
        <f>IF(AM17 = "Aero", Stats!AL11, IF(AM17 = "Chassis", Stats!AM11, IF(AM17 = "Suspension", Stats!AN11, IF(AM17 = "Engine", Stats!AO11, 0))))</f>
        <v>#REF!</v>
      </c>
      <c r="AN11" s="135" t="e">
        <f>IF(AN17 = "Aero", Stats!AL11, IF(AN17 = "Chassis", Stats!AM11, IF(AN17 = "Suspension", Stats!AN11, IF(AN17 = "Engine", Stats!AO11, 0))))</f>
        <v>#REF!</v>
      </c>
      <c r="AO11" s="135" t="e">
        <f t="shared" si="6"/>
        <v>#REF!</v>
      </c>
      <c r="AP11" s="167" t="e">
        <f t="shared" si="20"/>
        <v>#REF!</v>
      </c>
      <c r="AQ11" s="135">
        <f>IF(AQ17 = "Aero", Stats!X11, IF(AQ17 = "Chassis", Stats!Y11, IF(AQ17 = "Suspension", SUM(Stats!Z11:'Stats'!AA11), 0)))</f>
        <v>12</v>
      </c>
      <c r="AR11" s="135" t="e">
        <f>IF(AR17 = "Aero", Stats!AL11, IF(AR17 = "Chassis", Stats!AM11, IF(AR17 = "Suspension", Stats!AN11, IF(AR17 = "Engine", Stats!AO11, 0))))</f>
        <v>#REF!</v>
      </c>
      <c r="AS11" s="135" t="e">
        <f>IF(AS17 = "Aero", Stats!AL11, IF(AS17 = "Chassis", Stats!AM11, IF(AS17 = "Suspension", Stats!AN11, IF(AS17 = "Engine", Stats!AO11, 0))))</f>
        <v>#REF!</v>
      </c>
      <c r="AT11" s="135" t="e">
        <f t="shared" si="7"/>
        <v>#REF!</v>
      </c>
      <c r="AU11" s="167" t="e">
        <f t="shared" si="21"/>
        <v>#REF!</v>
      </c>
      <c r="AV11" s="135">
        <f>IF(AV17 = "Aero", Stats!X11, IF(AV17 = "Chassis", Stats!Y11, IF(AV17 = "Suspension", SUM(Stats!Z11:'Stats'!AA11), 0)))</f>
        <v>9</v>
      </c>
      <c r="AW11" s="135" t="e">
        <f>IF(AW17 = "Aero", Stats!AL11, IF(AW17 = "Chassis", Stats!AM11, IF(AW17 = "Suspension", Stats!AN11, IF(AW17 = "Engine", Stats!AO11, 0))))</f>
        <v>#REF!</v>
      </c>
      <c r="AX11" s="135" t="e">
        <f>IF(AX17 = "Aero", Stats!AL11, IF(AX17 = "Chassis", Stats!AM11, IF(AX17 = "Suspension", Stats!AN11, IF(AX17 = "Engine", Stats!AO11, 0))))</f>
        <v>#REF!</v>
      </c>
      <c r="AY11" s="135" t="e">
        <f t="shared" si="8"/>
        <v>#REF!</v>
      </c>
      <c r="AZ11" s="167" t="e">
        <f t="shared" si="22"/>
        <v>#REF!</v>
      </c>
      <c r="BA11" s="135">
        <f>IF(BA17 = "Aero", Stats!X11, IF(BA17 = "Chassis", Stats!Y11, IF(BA17 = "Suspension", SUM(Stats!Z11:'Stats'!AA11), 0)))</f>
        <v>9</v>
      </c>
      <c r="BB11" s="135" t="e">
        <f>IF(BB17 = "Aero", Stats!AL11, IF(BB17 = "Chassis", Stats!AM11, IF(BB17 = "Suspension", Stats!AN11, IF(BB17 = "Engine", Stats!AO11, 0))))</f>
        <v>#REF!</v>
      </c>
      <c r="BC11" s="135" t="e">
        <f>IF(BC17 = "Aero", Stats!AL11, IF(BC17 = "Chassis", Stats!AM11, IF(BC17 = "Suspension", Stats!AN11, IF(BC17 = "Engine", Stats!AO11, 0))))</f>
        <v>#REF!</v>
      </c>
      <c r="BD11" s="135" t="e">
        <f t="shared" si="9"/>
        <v>#REF!</v>
      </c>
      <c r="BE11" s="167" t="e">
        <f t="shared" si="23"/>
        <v>#REF!</v>
      </c>
      <c r="BF11" s="135">
        <f>IF(BF17 = "Aero", Stats!X11, IF(BF17 = "Chassis", Stats!Y11, IF(BF17 = "Suspension", SUM(Stats!Z11:'Stats'!AA11), 0)))</f>
        <v>0</v>
      </c>
      <c r="BG11" s="135" t="e">
        <f>IF(BG17 = "Aero", Stats!AL11, IF(BG17 = "Chassis", Stats!AM11, IF(BG17 = "Suspension", Stats!AN11, IF(BG17 = "Engine", Stats!AO11, 0))))</f>
        <v>#REF!</v>
      </c>
      <c r="BH11" s="135" t="e">
        <f>IF(BH17 = "Aero", Stats!AL11, IF(BH17 = "Chassis", Stats!AM11, IF(BH17 = "Suspension", Stats!AN11, IF(BH17 = "Engine", Stats!AO11, 0))))</f>
        <v>#REF!</v>
      </c>
      <c r="BI11" s="135" t="e">
        <f t="shared" si="10"/>
        <v>#REF!</v>
      </c>
      <c r="BJ11" s="167" t="e">
        <f t="shared" si="24"/>
        <v>#REF!</v>
      </c>
      <c r="BK11" s="135">
        <f>IF(BK17 = "Aero", Stats!X11, IF(BK17 = "Chassis", Stats!Y11, IF(BK17 = "Suspension", SUM(Stats!Z11:'Stats'!AA11), 0)))</f>
        <v>12</v>
      </c>
      <c r="BL11" s="135" t="e">
        <f>IF(BL17 = "Aero", Stats!AL11, IF(BL17 = "Chassis", Stats!AM11, IF(BL17 = "Suspension", Stats!AN11, IF(BL17 = "Engine", Stats!AO11, 0))))</f>
        <v>#REF!</v>
      </c>
      <c r="BM11" s="135" t="e">
        <f>IF(BM17 = "Aero", Stats!AL11, IF(BM17 = "Chassis", Stats!AM11, IF(BM17 = "Suspension", Stats!AN11, IF(BM17 = "Engine", Stats!AO11, 0))))</f>
        <v>#REF!</v>
      </c>
      <c r="BN11" s="135" t="e">
        <f t="shared" si="11"/>
        <v>#REF!</v>
      </c>
      <c r="BO11" s="167" t="e">
        <f t="shared" si="25"/>
        <v>#REF!</v>
      </c>
      <c r="BP11" s="135">
        <f>IF(BP17 = "Aero", Stats!X11, IF(BP17 = "Chassis", Stats!Y11, IF(BP17 = "Suspension", SUM(Stats!Z11:'Stats'!AA11), 0)))</f>
        <v>0</v>
      </c>
      <c r="BQ11" s="135" t="e">
        <f>IF(BQ17 = "Aero", Stats!AL11, IF(BQ17 = "Chassis", Stats!AM11, IF(BQ17 = "Suspension", Stats!AN11, IF(BQ17 = "Engine", Stats!AO11, 0))))</f>
        <v>#REF!</v>
      </c>
      <c r="BR11" s="135" t="e">
        <f>IF(BR17 = "Aero", Stats!AL11, IF(BR17 = "Chassis", Stats!AM11, IF(BR17 = "Suspension", Stats!AN11, IF(BR17 = "Engine", Stats!AO11, 0))))</f>
        <v>#REF!</v>
      </c>
      <c r="BS11" s="135" t="e">
        <f t="shared" si="12"/>
        <v>#REF!</v>
      </c>
      <c r="BT11" s="167" t="e">
        <f t="shared" si="26"/>
        <v>#REF!</v>
      </c>
      <c r="BU11" s="135">
        <f>IF(BU17 = "Aero", Stats!X11, IF(BU17 = "Chassis", Stats!Y11, IF(BU17 = "Suspension", SUM(Stats!Z11:'Stats'!AA11), 0)))</f>
        <v>0</v>
      </c>
      <c r="BV11" s="135" t="e">
        <f>IF(BV17 = "Aero", Stats!AL11, IF(BV17 = "Chassis", Stats!AM11, IF(BV17 = "Suspension", Stats!AN11, IF(BV17 = "Engine", Stats!AO11, 0))))</f>
        <v>#REF!</v>
      </c>
      <c r="BW11" s="135" t="e">
        <f>IF(BW17 = "Aero", Stats!AL11, IF(BW17 = "Chassis", Stats!AM11, IF(BW17 = "Suspension", Stats!AN11, IF(BW17 = "Engine", Stats!AO11, 0))))</f>
        <v>#REF!</v>
      </c>
      <c r="BX11" s="135" t="e">
        <f t="shared" si="13"/>
        <v>#REF!</v>
      </c>
      <c r="BY11" s="167" t="e">
        <f t="shared" si="27"/>
        <v>#REF!</v>
      </c>
      <c r="BZ11" s="135">
        <f>IF(BZ17 = "Aero", Stats!X11, IF(BZ17 = "Chassis", Stats!Y11, IF(BZ17 = "Suspension", SUM(Stats!Z11:'Stats'!AA11), 0)))</f>
        <v>0</v>
      </c>
      <c r="CA11" s="135" t="e">
        <f>IF(CA17 = "Aero", Stats!AL11, IF(CA17 = "Chassis", Stats!AM11, IF(CA17 = "Suspension", Stats!AN11, IF(CA17 = "Engine", Stats!AO11, 0))))</f>
        <v>#REF!</v>
      </c>
      <c r="CB11" s="156" t="e">
        <f>IF(CB17 = "Aero", Stats!AL11, IF(CB17 = "Chassis", Stats!AM11, IF(CB17 = "Suspension", Stats!AN11, IF(CB17 = "Engine", Stats!AO11, 0))))</f>
        <v>#REF!</v>
      </c>
      <c r="CC11" s="144" t="e">
        <f t="shared" si="28"/>
        <v>#REF!</v>
      </c>
      <c r="CD11" s="144" t="e">
        <f t="shared" si="28"/>
        <v>#REF!</v>
      </c>
      <c r="CG11" s="4">
        <v>1</v>
      </c>
    </row>
    <row r="12" spans="2:85" ht="16.8" customHeight="1" x14ac:dyDescent="0.3">
      <c r="B12" s="42" t="str">
        <f>IF(Start!B12 &lt;&gt; "", Start!B12, "")</f>
        <v>Sim Party Racing</v>
      </c>
      <c r="C12" s="11" t="str">
        <f>IF(Start!C12 &lt;&gt; "", Start!C12, "")</f>
        <v>Lola</v>
      </c>
      <c r="D12" s="11" t="str">
        <f>IF(Start!D12 &lt;&gt; "", Start!D12, "")</f>
        <v>Chevrolet</v>
      </c>
      <c r="E12" s="11" t="str">
        <f>IF(Start!E12 &lt;&gt; "", Start!E12, "")</f>
        <v>Michelin</v>
      </c>
      <c r="H12" s="144">
        <f>Stats!AQ12</f>
        <v>689</v>
      </c>
      <c r="K12" s="150" t="e">
        <f t="shared" si="0"/>
        <v>#REF!</v>
      </c>
      <c r="L12" s="167" t="e">
        <f t="shared" si="14"/>
        <v>#REF!</v>
      </c>
      <c r="M12" s="165">
        <f>IF(M17 = "Aero", Stats!X12, IF(M17 = "Chassis", Stats!Y12, IF(M17 = "Suspension", SUM(Stats!Z12:'Stats'!AA12), 0)))</f>
        <v>0</v>
      </c>
      <c r="N12" s="135" t="e">
        <f>IF(N17 = "Aero", Stats!AL12, IF(N17 = "Chassis", Stats!AM12, IF(N17 = "Suspension", Stats!AN12, IF(N17 = "Engine", Stats!AO12, 0))))</f>
        <v>#REF!</v>
      </c>
      <c r="O12" s="135" t="e">
        <f>IF(O17 = "Aero", Stats!AL12, IF(O17 = "Chassis", Stats!AM12, IF(O17 = "Suspension", Stats!AN12, IF(O17 = "Engine", Stats!AO12, 0))))</f>
        <v>#REF!</v>
      </c>
      <c r="P12" s="135" t="e">
        <f t="shared" si="1"/>
        <v>#REF!</v>
      </c>
      <c r="Q12" s="167" t="e">
        <f t="shared" si="15"/>
        <v>#REF!</v>
      </c>
      <c r="R12" s="135">
        <f>IF(R17 = "Aero", Stats!X12, IF(R17 = "Chassis", Stats!Y12, IF(R17 = "Suspension", SUM(Stats!Z12:'Stats'!AA12), 0)))</f>
        <v>0</v>
      </c>
      <c r="S12" s="135" t="e">
        <f>IF(S17 = "Aero", Stats!AL12, IF(S17 = "Chassis", Stats!AM12, IF(S17 = "Suspension", Stats!AN12, IF(S17 = "Engine", Stats!AO12, 0))))</f>
        <v>#REF!</v>
      </c>
      <c r="T12" s="135" t="e">
        <f>IF(T17 = "Aero", Stats!AL12, IF(T17 = "Chassis", Stats!AM12, IF(T17 = "Suspension", Stats!AN12, IF(T17 = "Engine", Stats!AO12, 0))))</f>
        <v>#REF!</v>
      </c>
      <c r="U12" s="135" t="e">
        <f t="shared" si="2"/>
        <v>#N/A</v>
      </c>
      <c r="V12" s="167" t="e">
        <f t="shared" si="16"/>
        <v>#N/A</v>
      </c>
      <c r="W12" s="135" t="e">
        <f>IF(W17 = "Aero", Stats!X12, IF(W17 = "Chassis", Stats!Y12, IF(W17 = "Suspension", SUM(Stats!Z12:'Stats'!AA12), 0)))</f>
        <v>#N/A</v>
      </c>
      <c r="X12" s="135" t="e">
        <f>IF(X17 = "Aero", Stats!AL12, IF(X17 = "Chassis", Stats!AM12, IF(X17 = "Suspension", Stats!AN12, IF(X17 = "Engine", Stats!AO12, 0))))</f>
        <v>#N/A</v>
      </c>
      <c r="Y12" s="135" t="e">
        <f>IF(Y17 = "Aero", Stats!AL12, IF(Y17 = "Chassis", Stats!AM12, IF(Y17 = "Suspension", Stats!AN12, IF(Y17 = "Engine", Stats!AO12, 0))))</f>
        <v>#N/A</v>
      </c>
      <c r="Z12" s="135" t="e">
        <f t="shared" si="3"/>
        <v>#REF!</v>
      </c>
      <c r="AA12" s="167" t="e">
        <f t="shared" si="17"/>
        <v>#REF!</v>
      </c>
      <c r="AB12" s="135">
        <f>IF(AB17 = "Aero", Stats!X12, IF(AB17 = "Chassis", Stats!Y12, IF(AB17 = "Suspension", SUM(Stats!Z12:'Stats'!AA12), 0)))</f>
        <v>0</v>
      </c>
      <c r="AC12" s="135" t="e">
        <f>IF(AC17 = "Aero", Stats!AL12, IF(AC17 = "Chassis", Stats!AM12, IF(AC17 = "Suspension", Stats!AN12, IF(AC17 = "Engine", Stats!AO12, 0))))</f>
        <v>#REF!</v>
      </c>
      <c r="AD12" s="135" t="e">
        <f>IF(AD17 = "Aero", Stats!AL12, IF(AD17 = "Chassis", Stats!AM12, IF(AD17 = "Suspension", Stats!AN12, IF(AD17 = "Engine", Stats!AO12, 0))))</f>
        <v>#REF!</v>
      </c>
      <c r="AE12" s="135" t="e">
        <f t="shared" si="4"/>
        <v>#REF!</v>
      </c>
      <c r="AF12" s="167" t="e">
        <f t="shared" si="18"/>
        <v>#REF!</v>
      </c>
      <c r="AG12" s="135">
        <f>IF(AG17 = "Aero", Stats!X12, IF(AG17 = "Chassis", Stats!Y12, IF(AG17 = "Suspension", SUM(Stats!Z12:'Stats'!AA12), 0)))</f>
        <v>9</v>
      </c>
      <c r="AH12" s="135" t="e">
        <f>IF(AH17 = "Aero", Stats!AL12, IF(AH17 = "Chassis", Stats!AM12, IF(AH17 = "Suspension", Stats!AN12, IF(AH17 = "Engine", Stats!AO12, 0))))</f>
        <v>#REF!</v>
      </c>
      <c r="AI12" s="135" t="e">
        <f>IF(AI17 = "Aero", Stats!AL12, IF(AI17 = "Chassis", Stats!AM12, IF(AI17 = "Suspension", Stats!AN12, IF(AI17 = "Engine", Stats!AO12, 0))))</f>
        <v>#REF!</v>
      </c>
      <c r="AJ12" s="135" t="e">
        <f t="shared" si="5"/>
        <v>#REF!</v>
      </c>
      <c r="AK12" s="167" t="e">
        <f t="shared" si="19"/>
        <v>#REF!</v>
      </c>
      <c r="AL12" s="135">
        <f>IF(AL17 = "Aero", Stats!X12, IF(AL17 = "Chassis", Stats!Y12, IF(AL17 = "Suspension", SUM(Stats!Z12:'Stats'!AA12), 0)))</f>
        <v>9</v>
      </c>
      <c r="AM12" s="135" t="e">
        <f>IF(AM17 = "Aero", Stats!AL12, IF(AM17 = "Chassis", Stats!AM12, IF(AM17 = "Suspension", Stats!AN12, IF(AM17 = "Engine", Stats!AO12, 0))))</f>
        <v>#REF!</v>
      </c>
      <c r="AN12" s="135" t="e">
        <f>IF(AN17 = "Aero", Stats!AL12, IF(AN17 = "Chassis", Stats!AM12, IF(AN17 = "Suspension", Stats!AN12, IF(AN17 = "Engine", Stats!AO12, 0))))</f>
        <v>#REF!</v>
      </c>
      <c r="AO12" s="135" t="e">
        <f t="shared" si="6"/>
        <v>#REF!</v>
      </c>
      <c r="AP12" s="167" t="e">
        <f t="shared" si="20"/>
        <v>#REF!</v>
      </c>
      <c r="AQ12" s="135">
        <f>IF(AQ17 = "Aero", Stats!X12, IF(AQ17 = "Chassis", Stats!Y12, IF(AQ17 = "Suspension", SUM(Stats!Z12:'Stats'!AA12), 0)))</f>
        <v>9</v>
      </c>
      <c r="AR12" s="135" t="e">
        <f>IF(AR17 = "Aero", Stats!AL12, IF(AR17 = "Chassis", Stats!AM12, IF(AR17 = "Suspension", Stats!AN12, IF(AR17 = "Engine", Stats!AO12, 0))))</f>
        <v>#REF!</v>
      </c>
      <c r="AS12" s="135" t="e">
        <f>IF(AS17 = "Aero", Stats!AL12, IF(AS17 = "Chassis", Stats!AM12, IF(AS17 = "Suspension", Stats!AN12, IF(AS17 = "Engine", Stats!AO12, 0))))</f>
        <v>#REF!</v>
      </c>
      <c r="AT12" s="135" t="e">
        <f t="shared" si="7"/>
        <v>#REF!</v>
      </c>
      <c r="AU12" s="167" t="e">
        <f t="shared" si="21"/>
        <v>#REF!</v>
      </c>
      <c r="AV12" s="135">
        <f>IF(AV17 = "Aero", Stats!X12, IF(AV17 = "Chassis", Stats!Y12, IF(AV17 = "Suspension", SUM(Stats!Z12:'Stats'!AA12), 0)))</f>
        <v>5</v>
      </c>
      <c r="AW12" s="135" t="e">
        <f>IF(AW17 = "Aero", Stats!AL12, IF(AW17 = "Chassis", Stats!AM12, IF(AW17 = "Suspension", Stats!AN12, IF(AW17 = "Engine", Stats!AO12, 0))))</f>
        <v>#REF!</v>
      </c>
      <c r="AX12" s="135" t="e">
        <f>IF(AX17 = "Aero", Stats!AL12, IF(AX17 = "Chassis", Stats!AM12, IF(AX17 = "Suspension", Stats!AN12, IF(AX17 = "Engine", Stats!AO12, 0))))</f>
        <v>#REF!</v>
      </c>
      <c r="AY12" s="135" t="e">
        <f t="shared" si="8"/>
        <v>#REF!</v>
      </c>
      <c r="AZ12" s="167" t="e">
        <f t="shared" si="22"/>
        <v>#REF!</v>
      </c>
      <c r="BA12" s="135">
        <f>IF(BA17 = "Aero", Stats!X12, IF(BA17 = "Chassis", Stats!Y12, IF(BA17 = "Suspension", SUM(Stats!Z12:'Stats'!AA12), 0)))</f>
        <v>5</v>
      </c>
      <c r="BB12" s="135" t="e">
        <f>IF(BB17 = "Aero", Stats!AL12, IF(BB17 = "Chassis", Stats!AM12, IF(BB17 = "Suspension", Stats!AN12, IF(BB17 = "Engine", Stats!AO12, 0))))</f>
        <v>#REF!</v>
      </c>
      <c r="BC12" s="135" t="e">
        <f>IF(BC17 = "Aero", Stats!AL12, IF(BC17 = "Chassis", Stats!AM12, IF(BC17 = "Suspension", Stats!AN12, IF(BC17 = "Engine", Stats!AO12, 0))))</f>
        <v>#REF!</v>
      </c>
      <c r="BD12" s="135" t="e">
        <f t="shared" si="9"/>
        <v>#REF!</v>
      </c>
      <c r="BE12" s="167" t="e">
        <f t="shared" si="23"/>
        <v>#REF!</v>
      </c>
      <c r="BF12" s="135">
        <f>IF(BF17 = "Aero", Stats!X12, IF(BF17 = "Chassis", Stats!Y12, IF(BF17 = "Suspension", SUM(Stats!Z12:'Stats'!AA12), 0)))</f>
        <v>0</v>
      </c>
      <c r="BG12" s="135" t="e">
        <f>IF(BG17 = "Aero", Stats!AL12, IF(BG17 = "Chassis", Stats!AM12, IF(BG17 = "Suspension", Stats!AN12, IF(BG17 = "Engine", Stats!AO12, 0))))</f>
        <v>#REF!</v>
      </c>
      <c r="BH12" s="135" t="e">
        <f>IF(BH17 = "Aero", Stats!AL12, IF(BH17 = "Chassis", Stats!AM12, IF(BH17 = "Suspension", Stats!AN12, IF(BH17 = "Engine", Stats!AO12, 0))))</f>
        <v>#REF!</v>
      </c>
      <c r="BI12" s="135" t="e">
        <f t="shared" si="10"/>
        <v>#REF!</v>
      </c>
      <c r="BJ12" s="167" t="e">
        <f t="shared" si="24"/>
        <v>#REF!</v>
      </c>
      <c r="BK12" s="135">
        <f>IF(BK17 = "Aero", Stats!X12, IF(BK17 = "Chassis", Stats!Y12, IF(BK17 = "Suspension", SUM(Stats!Z12:'Stats'!AA12), 0)))</f>
        <v>9</v>
      </c>
      <c r="BL12" s="135" t="e">
        <f>IF(BL17 = "Aero", Stats!AL12, IF(BL17 = "Chassis", Stats!AM12, IF(BL17 = "Suspension", Stats!AN12, IF(BL17 = "Engine", Stats!AO12, 0))))</f>
        <v>#REF!</v>
      </c>
      <c r="BM12" s="135" t="e">
        <f>IF(BM17 = "Aero", Stats!AL12, IF(BM17 = "Chassis", Stats!AM12, IF(BM17 = "Suspension", Stats!AN12, IF(BM17 = "Engine", Stats!AO12, 0))))</f>
        <v>#REF!</v>
      </c>
      <c r="BN12" s="135" t="e">
        <f t="shared" si="11"/>
        <v>#REF!</v>
      </c>
      <c r="BO12" s="167" t="e">
        <f t="shared" si="25"/>
        <v>#REF!</v>
      </c>
      <c r="BP12" s="135">
        <f>IF(BP17 = "Aero", Stats!X12, IF(BP17 = "Chassis", Stats!Y12, IF(BP17 = "Suspension", SUM(Stats!Z12:'Stats'!AA12), 0)))</f>
        <v>0</v>
      </c>
      <c r="BQ12" s="135" t="e">
        <f>IF(BQ17 = "Aero", Stats!AL12, IF(BQ17 = "Chassis", Stats!AM12, IF(BQ17 = "Suspension", Stats!AN12, IF(BQ17 = "Engine", Stats!AO12, 0))))</f>
        <v>#REF!</v>
      </c>
      <c r="BR12" s="135" t="e">
        <f>IF(BR17 = "Aero", Stats!AL12, IF(BR17 = "Chassis", Stats!AM12, IF(BR17 = "Suspension", Stats!AN12, IF(BR17 = "Engine", Stats!AO12, 0))))</f>
        <v>#REF!</v>
      </c>
      <c r="BS12" s="135" t="e">
        <f t="shared" si="12"/>
        <v>#REF!</v>
      </c>
      <c r="BT12" s="167" t="e">
        <f t="shared" si="26"/>
        <v>#REF!</v>
      </c>
      <c r="BU12" s="135">
        <f>IF(BU17 = "Aero", Stats!X12, IF(BU17 = "Chassis", Stats!Y12, IF(BU17 = "Suspension", SUM(Stats!Z12:'Stats'!AA12), 0)))</f>
        <v>0</v>
      </c>
      <c r="BV12" s="135" t="e">
        <f>IF(BV17 = "Aero", Stats!AL12, IF(BV17 = "Chassis", Stats!AM12, IF(BV17 = "Suspension", Stats!AN12, IF(BV17 = "Engine", Stats!AO12, 0))))</f>
        <v>#REF!</v>
      </c>
      <c r="BW12" s="135" t="e">
        <f>IF(BW17 = "Aero", Stats!AL12, IF(BW17 = "Chassis", Stats!AM12, IF(BW17 = "Suspension", Stats!AN12, IF(BW17 = "Engine", Stats!AO12, 0))))</f>
        <v>#REF!</v>
      </c>
      <c r="BX12" s="135" t="e">
        <f t="shared" si="13"/>
        <v>#REF!</v>
      </c>
      <c r="BY12" s="167" t="e">
        <f t="shared" si="27"/>
        <v>#REF!</v>
      </c>
      <c r="BZ12" s="135">
        <f>IF(BZ17 = "Aero", Stats!X12, IF(BZ17 = "Chassis", Stats!Y12, IF(BZ17 = "Suspension", SUM(Stats!Z12:'Stats'!AA12), 0)))</f>
        <v>0</v>
      </c>
      <c r="CA12" s="135" t="e">
        <f>IF(CA17 = "Aero", Stats!AL12, IF(CA17 = "Chassis", Stats!AM12, IF(CA17 = "Suspension", Stats!AN12, IF(CA17 = "Engine", Stats!AO12, 0))))</f>
        <v>#REF!</v>
      </c>
      <c r="CB12" s="156" t="e">
        <f>IF(CB17 = "Aero", Stats!AL12, IF(CB17 = "Chassis", Stats!AM12, IF(CB17 = "Suspension", Stats!AN12, IF(CB17 = "Engine", Stats!AO12, 0))))</f>
        <v>#REF!</v>
      </c>
      <c r="CC12" s="144" t="e">
        <f t="shared" si="28"/>
        <v>#REF!</v>
      </c>
      <c r="CD12" s="144" t="e">
        <f t="shared" si="28"/>
        <v>#REF!</v>
      </c>
      <c r="CG12" s="4">
        <v>9</v>
      </c>
    </row>
    <row r="13" spans="2:85" ht="16.8" customHeight="1" x14ac:dyDescent="0.3">
      <c r="B13" s="43" t="str">
        <f>IF(Start!B13 &lt;&gt; "", Start!B13, "")</f>
        <v>Centurion Engineering</v>
      </c>
      <c r="C13" s="11" t="str">
        <f>IF(Start!C13 &lt;&gt; "", Start!C13, "")</f>
        <v>Lola</v>
      </c>
      <c r="D13" s="11" t="str">
        <f>IF(Start!D13 &lt;&gt; "", Start!D13, "")</f>
        <v>Porsche</v>
      </c>
      <c r="E13" s="11" t="str">
        <f>IF(Start!E13 &lt;&gt; "", Start!E13, "")</f>
        <v>Michelin</v>
      </c>
      <c r="H13" s="144">
        <f>Stats!AQ13</f>
        <v>690</v>
      </c>
      <c r="K13" s="150" t="e">
        <f t="shared" si="0"/>
        <v>#REF!</v>
      </c>
      <c r="L13" s="167" t="e">
        <f t="shared" si="14"/>
        <v>#REF!</v>
      </c>
      <c r="M13" s="165">
        <f>IF(M17 = "Aero", Stats!X13, IF(M17 = "Chassis", Stats!Y13, IF(M17 = "Suspension", SUM(Stats!Z13:'Stats'!AA13), 0)))</f>
        <v>0</v>
      </c>
      <c r="N13" s="135" t="e">
        <f>IF(N17 = "Aero", Stats!AL13, IF(N17 = "Chassis", Stats!AM13, IF(N17 = "Suspension", Stats!AN13, IF(N17 = "Engine", Stats!AO13, 0))))</f>
        <v>#REF!</v>
      </c>
      <c r="O13" s="135" t="e">
        <f>IF(O17 = "Aero", Stats!AL13, IF(O17 = "Chassis", Stats!AM13, IF(O17 = "Suspension", Stats!AN13, IF(O17 = "Engine", Stats!AO13, 0))))</f>
        <v>#REF!</v>
      </c>
      <c r="P13" s="135" t="e">
        <f t="shared" si="1"/>
        <v>#REF!</v>
      </c>
      <c r="Q13" s="167" t="e">
        <f t="shared" si="15"/>
        <v>#REF!</v>
      </c>
      <c r="R13" s="135">
        <f>IF(R17 = "Aero", Stats!X13, IF(R17 = "Chassis", Stats!Y13, IF(R17 = "Suspension", SUM(Stats!Z13:'Stats'!AA13), 0)))</f>
        <v>0</v>
      </c>
      <c r="S13" s="135" t="e">
        <f>IF(S17 = "Aero", Stats!AL13, IF(S17 = "Chassis", Stats!AM13, IF(S17 = "Suspension", Stats!AN13, IF(S17 = "Engine", Stats!AO13, 0))))</f>
        <v>#REF!</v>
      </c>
      <c r="T13" s="135" t="e">
        <f>IF(T17 = "Aero", Stats!AL13, IF(T17 = "Chassis", Stats!AM13, IF(T17 = "Suspension", Stats!AN13, IF(T17 = "Engine", Stats!AO13, 0))))</f>
        <v>#REF!</v>
      </c>
      <c r="U13" s="135" t="e">
        <f t="shared" si="2"/>
        <v>#N/A</v>
      </c>
      <c r="V13" s="167" t="e">
        <f t="shared" si="16"/>
        <v>#N/A</v>
      </c>
      <c r="W13" s="135" t="e">
        <f>IF(W17 = "Aero", Stats!X13, IF(W17 = "Chassis", Stats!Y13, IF(W17 = "Suspension", SUM(Stats!Z13:'Stats'!AA13), 0)))</f>
        <v>#N/A</v>
      </c>
      <c r="X13" s="135" t="e">
        <f>IF(X17 = "Aero", Stats!AL13, IF(X17 = "Chassis", Stats!AM13, IF(X17 = "Suspension", Stats!AN13, IF(X17 = "Engine", Stats!AO13, 0))))</f>
        <v>#N/A</v>
      </c>
      <c r="Y13" s="135" t="e">
        <f>IF(Y17 = "Aero", Stats!AL13, IF(Y17 = "Chassis", Stats!AM13, IF(Y17 = "Suspension", Stats!AN13, IF(Y17 = "Engine", Stats!AO13, 0))))</f>
        <v>#N/A</v>
      </c>
      <c r="Z13" s="135" t="e">
        <f t="shared" si="3"/>
        <v>#REF!</v>
      </c>
      <c r="AA13" s="167" t="e">
        <f t="shared" si="17"/>
        <v>#REF!</v>
      </c>
      <c r="AB13" s="135">
        <f>IF(AB17 = "Aero", Stats!X13, IF(AB17 = "Chassis", Stats!Y13, IF(AB17 = "Suspension", SUM(Stats!Z13:'Stats'!AA13), 0)))</f>
        <v>0</v>
      </c>
      <c r="AC13" s="135" t="e">
        <f>IF(AC17 = "Aero", Stats!AL13, IF(AC17 = "Chassis", Stats!AM13, IF(AC17 = "Suspension", Stats!AN13, IF(AC17 = "Engine", Stats!AO13, 0))))</f>
        <v>#REF!</v>
      </c>
      <c r="AD13" s="135" t="e">
        <f>IF(AD17 = "Aero", Stats!AL13, IF(AD17 = "Chassis", Stats!AM13, IF(AD17 = "Suspension", Stats!AN13, IF(AD17 = "Engine", Stats!AO13, 0))))</f>
        <v>#REF!</v>
      </c>
      <c r="AE13" s="135" t="e">
        <f t="shared" si="4"/>
        <v>#REF!</v>
      </c>
      <c r="AF13" s="167" t="e">
        <f t="shared" si="18"/>
        <v>#REF!</v>
      </c>
      <c r="AG13" s="135">
        <f>IF(AG17 = "Aero", Stats!X13, IF(AG17 = "Chassis", Stats!Y13, IF(AG17 = "Suspension", SUM(Stats!Z13:'Stats'!AA13), 0)))</f>
        <v>11</v>
      </c>
      <c r="AH13" s="135" t="e">
        <f>IF(AH17 = "Aero", Stats!AL13, IF(AH17 = "Chassis", Stats!AM13, IF(AH17 = "Suspension", Stats!AN13, IF(AH17 = "Engine", Stats!AO13, 0))))</f>
        <v>#REF!</v>
      </c>
      <c r="AI13" s="135" t="e">
        <f>IF(AI17 = "Aero", Stats!AL13, IF(AI17 = "Chassis", Stats!AM13, IF(AI17 = "Suspension", Stats!AN13, IF(AI17 = "Engine", Stats!AO13, 0))))</f>
        <v>#REF!</v>
      </c>
      <c r="AJ13" s="135" t="e">
        <f t="shared" si="5"/>
        <v>#REF!</v>
      </c>
      <c r="AK13" s="167" t="e">
        <f t="shared" si="19"/>
        <v>#REF!</v>
      </c>
      <c r="AL13" s="135">
        <f>IF(AL17 = "Aero", Stats!X13, IF(AL17 = "Chassis", Stats!Y13, IF(AL17 = "Suspension", SUM(Stats!Z13:'Stats'!AA13), 0)))</f>
        <v>11</v>
      </c>
      <c r="AM13" s="135" t="e">
        <f>IF(AM17 = "Aero", Stats!AL13, IF(AM17 = "Chassis", Stats!AM13, IF(AM17 = "Suspension", Stats!AN13, IF(AM17 = "Engine", Stats!AO13, 0))))</f>
        <v>#REF!</v>
      </c>
      <c r="AN13" s="135" t="e">
        <f>IF(AN17 = "Aero", Stats!AL13, IF(AN17 = "Chassis", Stats!AM13, IF(AN17 = "Suspension", Stats!AN13, IF(AN17 = "Engine", Stats!AO13, 0))))</f>
        <v>#REF!</v>
      </c>
      <c r="AO13" s="135" t="e">
        <f t="shared" si="6"/>
        <v>#REF!</v>
      </c>
      <c r="AP13" s="167" t="e">
        <f t="shared" si="20"/>
        <v>#REF!</v>
      </c>
      <c r="AQ13" s="135">
        <f>IF(AQ17 = "Aero", Stats!X13, IF(AQ17 = "Chassis", Stats!Y13, IF(AQ17 = "Suspension", SUM(Stats!Z13:'Stats'!AA13), 0)))</f>
        <v>11</v>
      </c>
      <c r="AR13" s="135" t="e">
        <f>IF(AR17 = "Aero", Stats!AL13, IF(AR17 = "Chassis", Stats!AM13, IF(AR17 = "Suspension", Stats!AN13, IF(AR17 = "Engine", Stats!AO13, 0))))</f>
        <v>#REF!</v>
      </c>
      <c r="AS13" s="135" t="e">
        <f>IF(AS17 = "Aero", Stats!AL13, IF(AS17 = "Chassis", Stats!AM13, IF(AS17 = "Suspension", Stats!AN13, IF(AS17 = "Engine", Stats!AO13, 0))))</f>
        <v>#REF!</v>
      </c>
      <c r="AT13" s="135" t="e">
        <f t="shared" si="7"/>
        <v>#REF!</v>
      </c>
      <c r="AU13" s="167" t="e">
        <f t="shared" si="21"/>
        <v>#REF!</v>
      </c>
      <c r="AV13" s="135">
        <f>IF(AV17 = "Aero", Stats!X13, IF(AV17 = "Chassis", Stats!Y13, IF(AV17 = "Suspension", SUM(Stats!Z13:'Stats'!AA13), 0)))</f>
        <v>4</v>
      </c>
      <c r="AW13" s="135" t="e">
        <f>IF(AW17 = "Aero", Stats!AL13, IF(AW17 = "Chassis", Stats!AM13, IF(AW17 = "Suspension", Stats!AN13, IF(AW17 = "Engine", Stats!AO13, 0))))</f>
        <v>#REF!</v>
      </c>
      <c r="AX13" s="135" t="e">
        <f>IF(AX17 = "Aero", Stats!AL13, IF(AX17 = "Chassis", Stats!AM13, IF(AX17 = "Suspension", Stats!AN13, IF(AX17 = "Engine", Stats!AO13, 0))))</f>
        <v>#REF!</v>
      </c>
      <c r="AY13" s="135" t="e">
        <f t="shared" si="8"/>
        <v>#REF!</v>
      </c>
      <c r="AZ13" s="167" t="e">
        <f t="shared" si="22"/>
        <v>#REF!</v>
      </c>
      <c r="BA13" s="135">
        <f>IF(BA17 = "Aero", Stats!X13, IF(BA17 = "Chassis", Stats!Y13, IF(BA17 = "Suspension", SUM(Stats!Z13:'Stats'!AA13), 0)))</f>
        <v>4</v>
      </c>
      <c r="BB13" s="135" t="e">
        <f>IF(BB17 = "Aero", Stats!AL13, IF(BB17 = "Chassis", Stats!AM13, IF(BB17 = "Suspension", Stats!AN13, IF(BB17 = "Engine", Stats!AO13, 0))))</f>
        <v>#REF!</v>
      </c>
      <c r="BC13" s="135" t="e">
        <f>IF(BC17 = "Aero", Stats!AL13, IF(BC17 = "Chassis", Stats!AM13, IF(BC17 = "Suspension", Stats!AN13, IF(BC17 = "Engine", Stats!AO13, 0))))</f>
        <v>#REF!</v>
      </c>
      <c r="BD13" s="135" t="e">
        <f t="shared" si="9"/>
        <v>#REF!</v>
      </c>
      <c r="BE13" s="167" t="e">
        <f t="shared" si="23"/>
        <v>#REF!</v>
      </c>
      <c r="BF13" s="135">
        <f>IF(BF17 = "Aero", Stats!X13, IF(BF17 = "Chassis", Stats!Y13, IF(BF17 = "Suspension", SUM(Stats!Z13:'Stats'!AA13), 0)))</f>
        <v>0</v>
      </c>
      <c r="BG13" s="135" t="e">
        <f>IF(BG17 = "Aero", Stats!AL13, IF(BG17 = "Chassis", Stats!AM13, IF(BG17 = "Suspension", Stats!AN13, IF(BG17 = "Engine", Stats!AO13, 0))))</f>
        <v>#REF!</v>
      </c>
      <c r="BH13" s="135" t="e">
        <f>IF(BH17 = "Aero", Stats!AL13, IF(BH17 = "Chassis", Stats!AM13, IF(BH17 = "Suspension", Stats!AN13, IF(BH17 = "Engine", Stats!AO13, 0))))</f>
        <v>#REF!</v>
      </c>
      <c r="BI13" s="135" t="e">
        <f t="shared" si="10"/>
        <v>#REF!</v>
      </c>
      <c r="BJ13" s="167" t="e">
        <f t="shared" si="24"/>
        <v>#REF!</v>
      </c>
      <c r="BK13" s="135">
        <f>IF(BK17 = "Aero", Stats!X13, IF(BK17 = "Chassis", Stats!Y13, IF(BK17 = "Suspension", SUM(Stats!Z13:'Stats'!AA13), 0)))</f>
        <v>11</v>
      </c>
      <c r="BL13" s="135" t="e">
        <f>IF(BL17 = "Aero", Stats!AL13, IF(BL17 = "Chassis", Stats!AM13, IF(BL17 = "Suspension", Stats!AN13, IF(BL17 = "Engine", Stats!AO13, 0))))</f>
        <v>#REF!</v>
      </c>
      <c r="BM13" s="135" t="e">
        <f>IF(BM17 = "Aero", Stats!AL13, IF(BM17 = "Chassis", Stats!AM13, IF(BM17 = "Suspension", Stats!AN13, IF(BM17 = "Engine", Stats!AO13, 0))))</f>
        <v>#REF!</v>
      </c>
      <c r="BN13" s="135" t="e">
        <f t="shared" si="11"/>
        <v>#REF!</v>
      </c>
      <c r="BO13" s="167" t="e">
        <f t="shared" si="25"/>
        <v>#REF!</v>
      </c>
      <c r="BP13" s="135">
        <f>IF(BP17 = "Aero", Stats!X13, IF(BP17 = "Chassis", Stats!Y13, IF(BP17 = "Suspension", SUM(Stats!Z13:'Stats'!AA13), 0)))</f>
        <v>0</v>
      </c>
      <c r="BQ13" s="135" t="e">
        <f>IF(BQ17 = "Aero", Stats!AL13, IF(BQ17 = "Chassis", Stats!AM13, IF(BQ17 = "Suspension", Stats!AN13, IF(BQ17 = "Engine", Stats!AO13, 0))))</f>
        <v>#REF!</v>
      </c>
      <c r="BR13" s="135" t="e">
        <f>IF(BR17 = "Aero", Stats!AL13, IF(BR17 = "Chassis", Stats!AM13, IF(BR17 = "Suspension", Stats!AN13, IF(BR17 = "Engine", Stats!AO13, 0))))</f>
        <v>#REF!</v>
      </c>
      <c r="BS13" s="135" t="e">
        <f t="shared" si="12"/>
        <v>#REF!</v>
      </c>
      <c r="BT13" s="167" t="e">
        <f t="shared" si="26"/>
        <v>#REF!</v>
      </c>
      <c r="BU13" s="135">
        <f>IF(BU17 = "Aero", Stats!X13, IF(BU17 = "Chassis", Stats!Y13, IF(BU17 = "Suspension", SUM(Stats!Z13:'Stats'!AA13), 0)))</f>
        <v>0</v>
      </c>
      <c r="BV13" s="135" t="e">
        <f>IF(BV17 = "Aero", Stats!AL13, IF(BV17 = "Chassis", Stats!AM13, IF(BV17 = "Suspension", Stats!AN13, IF(BV17 = "Engine", Stats!AO13, 0))))</f>
        <v>#REF!</v>
      </c>
      <c r="BW13" s="135" t="e">
        <f>IF(BW17 = "Aero", Stats!AL13, IF(BW17 = "Chassis", Stats!AM13, IF(BW17 = "Suspension", Stats!AN13, IF(BW17 = "Engine", Stats!AO13, 0))))</f>
        <v>#REF!</v>
      </c>
      <c r="BX13" s="135" t="e">
        <f t="shared" si="13"/>
        <v>#REF!</v>
      </c>
      <c r="BY13" s="167" t="e">
        <f t="shared" si="27"/>
        <v>#REF!</v>
      </c>
      <c r="BZ13" s="135">
        <f>IF(BZ17 = "Aero", Stats!X13, IF(BZ17 = "Chassis", Stats!Y13, IF(BZ17 = "Suspension", SUM(Stats!Z13:'Stats'!AA13), 0)))</f>
        <v>0</v>
      </c>
      <c r="CA13" s="135" t="e">
        <f>IF(CA17 = "Aero", Stats!AL13, IF(CA17 = "Chassis", Stats!AM13, IF(CA17 = "Suspension", Stats!AN13, IF(CA17 = "Engine", Stats!AO13, 0))))</f>
        <v>#REF!</v>
      </c>
      <c r="CB13" s="156" t="e">
        <f>IF(CB17 = "Aero", Stats!AL13, IF(CB17 = "Chassis", Stats!AM13, IF(CB17 = "Suspension", Stats!AN13, IF(CB17 = "Engine", Stats!AO13, 0))))</f>
        <v>#REF!</v>
      </c>
      <c r="CC13" s="144" t="e">
        <f t="shared" si="28"/>
        <v>#REF!</v>
      </c>
      <c r="CD13" s="144" t="e">
        <f t="shared" si="28"/>
        <v>#REF!</v>
      </c>
      <c r="CG13" s="4">
        <v>6</v>
      </c>
    </row>
    <row r="14" spans="2:85" ht="16.8" customHeight="1" thickBot="1" x14ac:dyDescent="0.35">
      <c r="B14" s="160" t="str">
        <f>IF(Start!B14 &lt;&gt; "", Start!B14, "")</f>
        <v>APR GP Racing</v>
      </c>
      <c r="C14" s="12" t="str">
        <f>IF(Start!C14 &lt;&gt; "", Start!C14, "")</f>
        <v>Tatuus</v>
      </c>
      <c r="D14" s="12" t="str">
        <f>IF(Start!D14 &lt;&gt; "", Start!D14, "")</f>
        <v>Toyota</v>
      </c>
      <c r="E14" s="12" t="str">
        <f>IF(Start!E14 &lt;&gt; "", Start!E14, "")</f>
        <v>Firestone</v>
      </c>
      <c r="H14" s="145">
        <f>Stats!AQ14</f>
        <v>695</v>
      </c>
      <c r="K14" s="151" t="e">
        <f t="shared" si="0"/>
        <v>#REF!</v>
      </c>
      <c r="L14" s="168" t="e">
        <f t="shared" si="14"/>
        <v>#REF!</v>
      </c>
      <c r="M14" s="166">
        <f>IF(M17 = "Aero", Stats!X14, IF(M17 = "Chassis", Stats!Y14, IF(M17 = "Suspension", SUM(Stats!Z14:'Stats'!AA14), 0)))</f>
        <v>0</v>
      </c>
      <c r="N14" s="152" t="e">
        <f>IF(N17 = "Aero", Stats!AL14, IF(N17 = "Chassis", Stats!AM14, IF(N17 = "Suspension", Stats!AN14, IF(N17 = "Engine", Stats!AO14, 0))))</f>
        <v>#REF!</v>
      </c>
      <c r="O14" s="152" t="e">
        <f>IF(O17 = "Aero", Stats!AL14, IF(O17 = "Chassis", Stats!AM14, IF(O17 = "Suspension", Stats!AN14, IF(O17 = "Engine", Stats!AO14, 0))))</f>
        <v>#REF!</v>
      </c>
      <c r="P14" s="152" t="e">
        <f t="shared" si="1"/>
        <v>#REF!</v>
      </c>
      <c r="Q14" s="168" t="e">
        <f t="shared" si="15"/>
        <v>#REF!</v>
      </c>
      <c r="R14" s="152">
        <f>IF(R17 = "Aero", Stats!X14, IF(R17 = "Chassis", Stats!Y14, IF(R17 = "Suspension", SUM(Stats!Z14:'Stats'!AA14), 0)))</f>
        <v>0</v>
      </c>
      <c r="S14" s="152" t="e">
        <f>IF(S17 = "Aero", Stats!AL14, IF(S17 = "Chassis", Stats!AM14, IF(S17 = "Suspension", Stats!AN14, IF(S17 = "Engine", Stats!AO14, 0))))</f>
        <v>#REF!</v>
      </c>
      <c r="T14" s="152" t="e">
        <f>IF(T17 = "Aero", Stats!AL14, IF(T17 = "Chassis", Stats!AM14, IF(T17 = "Suspension", Stats!AN14, IF(T17 = "Engine", Stats!AO14, 0))))</f>
        <v>#REF!</v>
      </c>
      <c r="U14" s="152" t="e">
        <f t="shared" si="2"/>
        <v>#N/A</v>
      </c>
      <c r="V14" s="168" t="e">
        <f t="shared" si="16"/>
        <v>#N/A</v>
      </c>
      <c r="W14" s="152" t="e">
        <f>IF(W17 = "Aero", Stats!X14, IF(W17 = "Chassis", Stats!Y14, IF(W17 = "Suspension", SUM(Stats!Z14:'Stats'!AA14), 0)))</f>
        <v>#N/A</v>
      </c>
      <c r="X14" s="152" t="e">
        <f>IF(X17 = "Aero", Stats!AL14, IF(X17 = "Chassis", Stats!AM14, IF(X17 = "Suspension", Stats!AN14, IF(X17 = "Engine", Stats!AO14, 0))))</f>
        <v>#N/A</v>
      </c>
      <c r="Y14" s="152" t="e">
        <f>IF(Y17 = "Aero", Stats!AL14, IF(Y17 = "Chassis", Stats!AM14, IF(Y17 = "Suspension", Stats!AN14, IF(Y17 = "Engine", Stats!AO14, 0))))</f>
        <v>#N/A</v>
      </c>
      <c r="Z14" s="152" t="e">
        <f t="shared" si="3"/>
        <v>#REF!</v>
      </c>
      <c r="AA14" s="168" t="e">
        <f t="shared" si="17"/>
        <v>#REF!</v>
      </c>
      <c r="AB14" s="152">
        <f>IF(AB17 = "Aero", Stats!X14, IF(AB17 = "Chassis", Stats!Y14, IF(AB17 = "Suspension", SUM(Stats!Z14:'Stats'!AA14), 0)))</f>
        <v>0</v>
      </c>
      <c r="AC14" s="152" t="e">
        <f>IF(AC17 = "Aero", Stats!AL14, IF(AC17 = "Chassis", Stats!AM14, IF(AC17 = "Suspension", Stats!AN14, IF(AC17 = "Engine", Stats!AO14, 0))))</f>
        <v>#REF!</v>
      </c>
      <c r="AD14" s="152" t="e">
        <f>IF(AD17 = "Aero", Stats!AL14, IF(AD17 = "Chassis", Stats!AM14, IF(AD17 = "Suspension", Stats!AN14, IF(AD17 = "Engine", Stats!AO14, 0))))</f>
        <v>#REF!</v>
      </c>
      <c r="AE14" s="152" t="e">
        <f t="shared" si="4"/>
        <v>#REF!</v>
      </c>
      <c r="AF14" s="168" t="e">
        <f t="shared" si="18"/>
        <v>#REF!</v>
      </c>
      <c r="AG14" s="152">
        <f>IF(AG17 = "Aero", Stats!X14, IF(AG17 = "Chassis", Stats!Y14, IF(AG17 = "Suspension", SUM(Stats!Z14:'Stats'!AA14), 0)))</f>
        <v>16</v>
      </c>
      <c r="AH14" s="152" t="e">
        <f>IF(AH17 = "Aero", Stats!AL14, IF(AH17 = "Chassis", Stats!AM14, IF(AH17 = "Suspension", Stats!AN14, IF(AH17 = "Engine", Stats!AO14, 0))))</f>
        <v>#REF!</v>
      </c>
      <c r="AI14" s="152" t="e">
        <f>IF(AI17 = "Aero", Stats!AL14, IF(AI17 = "Chassis", Stats!AM14, IF(AI17 = "Suspension", Stats!AN14, IF(AI17 = "Engine", Stats!AO14, 0))))</f>
        <v>#REF!</v>
      </c>
      <c r="AJ14" s="152" t="e">
        <f t="shared" si="5"/>
        <v>#REF!</v>
      </c>
      <c r="AK14" s="168" t="e">
        <f t="shared" si="19"/>
        <v>#REF!</v>
      </c>
      <c r="AL14" s="152">
        <f>IF(AL17 = "Aero", Stats!X14, IF(AL17 = "Chassis", Stats!Y14, IF(AL17 = "Suspension", SUM(Stats!Z14:'Stats'!AA14), 0)))</f>
        <v>16</v>
      </c>
      <c r="AM14" s="152" t="e">
        <f>IF(AM17 = "Aero", Stats!AL14, IF(AM17 = "Chassis", Stats!AM14, IF(AM17 = "Suspension", Stats!AN14, IF(AM17 = "Engine", Stats!AO14, 0))))</f>
        <v>#REF!</v>
      </c>
      <c r="AN14" s="152" t="e">
        <f>IF(AN17 = "Aero", Stats!AL14, IF(AN17 = "Chassis", Stats!AM14, IF(AN17 = "Suspension", Stats!AN14, IF(AN17 = "Engine", Stats!AO14, 0))))</f>
        <v>#REF!</v>
      </c>
      <c r="AO14" s="152" t="e">
        <f t="shared" si="6"/>
        <v>#REF!</v>
      </c>
      <c r="AP14" s="168" t="e">
        <f t="shared" si="20"/>
        <v>#REF!</v>
      </c>
      <c r="AQ14" s="152">
        <f>IF(AQ17 = "Aero", Stats!X14, IF(AQ17 = "Chassis", Stats!Y14, IF(AQ17 = "Suspension", SUM(Stats!Z14:'Stats'!AA14), 0)))</f>
        <v>16</v>
      </c>
      <c r="AR14" s="152" t="e">
        <f>IF(AR17 = "Aero", Stats!AL14, IF(AR17 = "Chassis", Stats!AM14, IF(AR17 = "Suspension", Stats!AN14, IF(AR17 = "Engine", Stats!AO14, 0))))</f>
        <v>#REF!</v>
      </c>
      <c r="AS14" s="152" t="e">
        <f>IF(AS17 = "Aero", Stats!AL14, IF(AS17 = "Chassis", Stats!AM14, IF(AS17 = "Suspension", Stats!AN14, IF(AS17 = "Engine", Stats!AO14, 0))))</f>
        <v>#REF!</v>
      </c>
      <c r="AT14" s="152" t="e">
        <f t="shared" si="7"/>
        <v>#REF!</v>
      </c>
      <c r="AU14" s="168" t="e">
        <f t="shared" si="21"/>
        <v>#REF!</v>
      </c>
      <c r="AV14" s="152">
        <f>IF(AV17 = "Aero", Stats!X14, IF(AV17 = "Chassis", Stats!Y14, IF(AV17 = "Suspension", SUM(Stats!Z14:'Stats'!AA14), 0)))</f>
        <v>5</v>
      </c>
      <c r="AW14" s="152" t="e">
        <f>IF(AW17 = "Aero", Stats!AL14, IF(AW17 = "Chassis", Stats!AM14, IF(AW17 = "Suspension", Stats!AN14, IF(AW17 = "Engine", Stats!AO14, 0))))</f>
        <v>#REF!</v>
      </c>
      <c r="AX14" s="152" t="e">
        <f>IF(AX17 = "Aero", Stats!AL14, IF(AX17 = "Chassis", Stats!AM14, IF(AX17 = "Suspension", Stats!AN14, IF(AX17 = "Engine", Stats!AO14, 0))))</f>
        <v>#REF!</v>
      </c>
      <c r="AY14" s="152" t="e">
        <f t="shared" si="8"/>
        <v>#REF!</v>
      </c>
      <c r="AZ14" s="168" t="e">
        <f t="shared" si="22"/>
        <v>#REF!</v>
      </c>
      <c r="BA14" s="152">
        <f>IF(BA17 = "Aero", Stats!X14, IF(BA17 = "Chassis", Stats!Y14, IF(BA17 = "Suspension", SUM(Stats!Z14:'Stats'!AA14), 0)))</f>
        <v>5</v>
      </c>
      <c r="BB14" s="152" t="e">
        <f>IF(BB17 = "Aero", Stats!AL14, IF(BB17 = "Chassis", Stats!AM14, IF(BB17 = "Suspension", Stats!AN14, IF(BB17 = "Engine", Stats!AO14, 0))))</f>
        <v>#REF!</v>
      </c>
      <c r="BC14" s="152" t="e">
        <f>IF(BC17 = "Aero", Stats!AL14, IF(BC17 = "Chassis", Stats!AM14, IF(BC17 = "Suspension", Stats!AN14, IF(BC17 = "Engine", Stats!AO14, 0))))</f>
        <v>#REF!</v>
      </c>
      <c r="BD14" s="152" t="e">
        <f t="shared" si="9"/>
        <v>#REF!</v>
      </c>
      <c r="BE14" s="168" t="e">
        <f t="shared" si="23"/>
        <v>#REF!</v>
      </c>
      <c r="BF14" s="152">
        <f>IF(BF17 = "Aero", Stats!X14, IF(BF17 = "Chassis", Stats!Y14, IF(BF17 = "Suspension", SUM(Stats!Z14:'Stats'!AA14), 0)))</f>
        <v>0</v>
      </c>
      <c r="BG14" s="152" t="e">
        <f>IF(BG17 = "Aero", Stats!AL14, IF(BG17 = "Chassis", Stats!AM14, IF(BG17 = "Suspension", Stats!AN14, IF(BG17 = "Engine", Stats!AO14, 0))))</f>
        <v>#REF!</v>
      </c>
      <c r="BH14" s="152" t="e">
        <f>IF(BH17 = "Aero", Stats!AL14, IF(BH17 = "Chassis", Stats!AM14, IF(BH17 = "Suspension", Stats!AN14, IF(BH17 = "Engine", Stats!AO14, 0))))</f>
        <v>#REF!</v>
      </c>
      <c r="BI14" s="152" t="e">
        <f t="shared" si="10"/>
        <v>#REF!</v>
      </c>
      <c r="BJ14" s="168" t="e">
        <f t="shared" si="24"/>
        <v>#REF!</v>
      </c>
      <c r="BK14" s="152">
        <f>IF(BK17 = "Aero", Stats!X14, IF(BK17 = "Chassis", Stats!Y14, IF(BK17 = "Suspension", SUM(Stats!Z14:'Stats'!AA14), 0)))</f>
        <v>16</v>
      </c>
      <c r="BL14" s="152" t="e">
        <f>IF(BL17 = "Aero", Stats!AL14, IF(BL17 = "Chassis", Stats!AM14, IF(BL17 = "Suspension", Stats!AN14, IF(BL17 = "Engine", Stats!AO14, 0))))</f>
        <v>#REF!</v>
      </c>
      <c r="BM14" s="152" t="e">
        <f>IF(BM17 = "Aero", Stats!AL14, IF(BM17 = "Chassis", Stats!AM14, IF(BM17 = "Suspension", Stats!AN14, IF(BM17 = "Engine", Stats!AO14, 0))))</f>
        <v>#REF!</v>
      </c>
      <c r="BN14" s="152" t="e">
        <f t="shared" si="11"/>
        <v>#REF!</v>
      </c>
      <c r="BO14" s="168" t="e">
        <f t="shared" si="25"/>
        <v>#REF!</v>
      </c>
      <c r="BP14" s="152">
        <f>IF(BP17 = "Aero", Stats!X14, IF(BP17 = "Chassis", Stats!Y14, IF(BP17 = "Suspension", SUM(Stats!Z14:'Stats'!AA14), 0)))</f>
        <v>0</v>
      </c>
      <c r="BQ14" s="152" t="e">
        <f>IF(BQ17 = "Aero", Stats!AL14, IF(BQ17 = "Chassis", Stats!AM14, IF(BQ17 = "Suspension", Stats!AN14, IF(BQ17 = "Engine", Stats!AO14, 0))))</f>
        <v>#REF!</v>
      </c>
      <c r="BR14" s="152" t="e">
        <f>IF(BR17 = "Aero", Stats!AL14, IF(BR17 = "Chassis", Stats!AM14, IF(BR17 = "Suspension", Stats!AN14, IF(BR17 = "Engine", Stats!AO14, 0))))</f>
        <v>#REF!</v>
      </c>
      <c r="BS14" s="152" t="e">
        <f t="shared" si="12"/>
        <v>#REF!</v>
      </c>
      <c r="BT14" s="168" t="e">
        <f t="shared" si="26"/>
        <v>#REF!</v>
      </c>
      <c r="BU14" s="152">
        <f>IF(BU17 = "Aero", Stats!X14, IF(BU17 = "Chassis", Stats!Y14, IF(BU17 = "Suspension", SUM(Stats!Z14:'Stats'!AA14), 0)))</f>
        <v>0</v>
      </c>
      <c r="BV14" s="152" t="e">
        <f>IF(BV17 = "Aero", Stats!AL14, IF(BV17 = "Chassis", Stats!AM14, IF(BV17 = "Suspension", Stats!AN14, IF(BV17 = "Engine", Stats!AO14, 0))))</f>
        <v>#REF!</v>
      </c>
      <c r="BW14" s="152" t="e">
        <f>IF(BW17 = "Aero", Stats!AL14, IF(BW17 = "Chassis", Stats!AM14, IF(BW17 = "Suspension", Stats!AN14, IF(BW17 = "Engine", Stats!AO14, 0))))</f>
        <v>#REF!</v>
      </c>
      <c r="BX14" s="152" t="e">
        <f t="shared" si="13"/>
        <v>#REF!</v>
      </c>
      <c r="BY14" s="168" t="e">
        <f t="shared" si="27"/>
        <v>#REF!</v>
      </c>
      <c r="BZ14" s="152">
        <f>IF(BZ17 = "Aero", Stats!X14, IF(BZ17 = "Chassis", Stats!Y14, IF(BZ17 = "Suspension", SUM(Stats!Z14:'Stats'!AA14), 0)))</f>
        <v>0</v>
      </c>
      <c r="CA14" s="152" t="e">
        <f>IF(CA17 = "Aero", Stats!AL14, IF(CA17 = "Chassis", Stats!AM14, IF(CA17 = "Suspension", Stats!AN14, IF(CA17 = "Engine", Stats!AO14, 0))))</f>
        <v>#REF!</v>
      </c>
      <c r="CB14" s="157" t="e">
        <f>IF(CB17 = "Aero", Stats!AL14, IF(CB17 = "Chassis", Stats!AM14, IF(CB17 = "Suspension", Stats!AN14, IF(CB17 = "Engine", Stats!AO14, 0))))</f>
        <v>#REF!</v>
      </c>
      <c r="CC14" s="145" t="e">
        <f t="shared" si="28"/>
        <v>#REF!</v>
      </c>
      <c r="CD14" s="145" t="e">
        <f t="shared" si="28"/>
        <v>#REF!</v>
      </c>
      <c r="CG14" s="4">
        <v>3</v>
      </c>
    </row>
    <row r="17" spans="11:82" ht="16.8" customHeight="1" x14ac:dyDescent="0.3">
      <c r="K17" s="5">
        <v>1</v>
      </c>
      <c r="L17" s="5"/>
      <c r="M17" s="5" t="str">
        <f>IF(K17 = "NC", VLOOKUP(CONCATENATE(K17), calendar, 11, FALSE), VLOOKUP(CONCATENATE("E", K17), calendar, 11, FALSE))</f>
        <v>Engine</v>
      </c>
      <c r="N17" s="5" t="e">
        <f>IF(K17 = "NC", VLOOKUP(CONCATENATE(K17), calendar, 12, FALSE), VLOOKUP(CONCATENATE("E", K17), calendar, 12, FALSE))</f>
        <v>#REF!</v>
      </c>
      <c r="O17" s="5" t="e">
        <f>IF(K17 = "NC", VLOOKUP(CONCATENATE(K17), calendar, 13, FALSE), VLOOKUP(CONCATENATE("E", K17), calendar, 13, FALSE))</f>
        <v>#REF!</v>
      </c>
      <c r="P17" s="5">
        <v>2</v>
      </c>
      <c r="Q17" s="5"/>
      <c r="R17" s="5" t="str">
        <f>IF(P17 = "NC", VLOOKUP(CONCATENATE(P17), calendar, 11, FALSE), VLOOKUP(CONCATENATE("E", P17), calendar, 11, FALSE))</f>
        <v>Engine</v>
      </c>
      <c r="S17" s="5" t="e">
        <f>IF(P17 = "NC", VLOOKUP(CONCATENATE(P17), calendar, 12, FALSE), VLOOKUP(CONCATENATE("E", P17), calendar, 12, FALSE))</f>
        <v>#REF!</v>
      </c>
      <c r="T17" s="5" t="e">
        <f>IF(P17 = "NC", VLOOKUP(CONCATENATE(P17), calendar, 13, FALSE), VLOOKUP(CONCATENATE("E", P17), calendar, 13, FALSE))</f>
        <v>#REF!</v>
      </c>
      <c r="U17" s="5" t="s">
        <v>621</v>
      </c>
      <c r="V17" s="5"/>
      <c r="W17" s="5" t="e">
        <f>IF(U17 = "NC", VLOOKUP(CONCATENATE(U17), calendar, 11, FALSE), VLOOKUP(CONCATENATE("E", U17), calendar, 11, FALSE))</f>
        <v>#N/A</v>
      </c>
      <c r="X17" s="5" t="e">
        <f>IF(U17 = "NC", VLOOKUP(CONCATENATE(U17), calendar, 12, FALSE), VLOOKUP(CONCATENATE("E", U17), calendar, 12, FALSE))</f>
        <v>#N/A</v>
      </c>
      <c r="Y17" s="5" t="e">
        <f>IF(U17 = "NC", VLOOKUP(CONCATENATE(U17), calendar, 13, FALSE), VLOOKUP(CONCATENATE("E", U17), calendar, 13, FALSE))</f>
        <v>#N/A</v>
      </c>
      <c r="Z17" s="5">
        <v>3</v>
      </c>
      <c r="AA17" s="5"/>
      <c r="AB17" s="5" t="str">
        <f>IF(Z17 = "NC", VLOOKUP(CONCATENATE(Z17), calendar, 11, FALSE), VLOOKUP(CONCATENATE("E", Z17), calendar, 11, FALSE))</f>
        <v>Engine</v>
      </c>
      <c r="AC17" s="5" t="e">
        <f>IF(Z17 = "NC", VLOOKUP(CONCATENATE(Z17), calendar, 12, FALSE), VLOOKUP(CONCATENATE("E", Z17), calendar, 12, FALSE))</f>
        <v>#REF!</v>
      </c>
      <c r="AD17" s="5" t="e">
        <f>IF(Z17 = "NC", VLOOKUP(CONCATENATE(Z17), calendar, 13, FALSE), VLOOKUP(CONCATENATE("E", Z17), calendar, 13, FALSE))</f>
        <v>#REF!</v>
      </c>
      <c r="AE17" s="5">
        <v>4</v>
      </c>
      <c r="AF17" s="5"/>
      <c r="AG17" s="5" t="str">
        <f>IF(AE17 = "NC", VLOOKUP(CONCATENATE(AE17), calendar, 11, FALSE), VLOOKUP(CONCATENATE("E", AE17), calendar, 11, FALSE))</f>
        <v>Suspension</v>
      </c>
      <c r="AH17" s="5" t="e">
        <f>IF(AE17 = "NC", VLOOKUP(CONCATENATE(AE17), calendar, 12, FALSE), VLOOKUP(CONCATENATE("E", AE17), calendar, 12, FALSE))</f>
        <v>#REF!</v>
      </c>
      <c r="AI17" s="5" t="e">
        <f>IF(AE17 = "NC", VLOOKUP(CONCATENATE(AE17), calendar, 13, FALSE), VLOOKUP(CONCATENATE("E", AE17), calendar, 13, FALSE))</f>
        <v>#REF!</v>
      </c>
      <c r="AJ17" s="5">
        <v>5</v>
      </c>
      <c r="AK17" s="5"/>
      <c r="AL17" s="5" t="str">
        <f>IF(AJ17 = "NC", VLOOKUP(CONCATENATE(AJ17), calendar, 11, FALSE), VLOOKUP(CONCATENATE("E", AJ17), calendar, 11, FALSE))</f>
        <v>Suspension</v>
      </c>
      <c r="AM17" s="5" t="e">
        <f>IF(AJ17 = "NC", VLOOKUP(CONCATENATE(AJ17), calendar, 12, FALSE), VLOOKUP(CONCATENATE("E", AJ17), calendar, 12, FALSE))</f>
        <v>#REF!</v>
      </c>
      <c r="AN17" s="5" t="e">
        <f>IF(AJ17 = "NC", VLOOKUP(CONCATENATE(AJ17), calendar, 13, FALSE), VLOOKUP(CONCATENATE("E", AJ17), calendar, 13, FALSE))</f>
        <v>#REF!</v>
      </c>
      <c r="AO17" s="5">
        <v>6</v>
      </c>
      <c r="AP17" s="5"/>
      <c r="AQ17" s="5" t="str">
        <f>IF(AO17 = "NC", VLOOKUP(CONCATENATE(AO17), calendar, 11, FALSE), VLOOKUP(CONCATENATE("E", AO17), calendar, 11, FALSE))</f>
        <v>Suspension</v>
      </c>
      <c r="AR17" s="5" t="e">
        <f>IF(AO17 = "NC", VLOOKUP(CONCATENATE(AO17), calendar, 12, FALSE), VLOOKUP(CONCATENATE("E", AO17), calendar, 12, FALSE))</f>
        <v>#REF!</v>
      </c>
      <c r="AS17" s="5" t="e">
        <f>IF(AO17 = "NC", VLOOKUP(CONCATENATE(AO17), calendar, 13, FALSE), VLOOKUP(CONCATENATE("E", AO17), calendar, 13, FALSE))</f>
        <v>#REF!</v>
      </c>
      <c r="AT17" s="5">
        <v>7</v>
      </c>
      <c r="AU17" s="5"/>
      <c r="AV17" s="5" t="str">
        <f>IF(AT17 = "NC", VLOOKUP(CONCATENATE(AT17), calendar, 11, FALSE), VLOOKUP(CONCATENATE("E", AT17), calendar, 11, FALSE))</f>
        <v>Chassis</v>
      </c>
      <c r="AW17" s="5" t="e">
        <f>IF(AT17 = "NC", VLOOKUP(CONCATENATE(AT17), calendar, 12, FALSE), VLOOKUP(CONCATENATE("E", AT17), calendar, 12, FALSE))</f>
        <v>#REF!</v>
      </c>
      <c r="AX17" s="5" t="e">
        <f>IF(AT17 = "NC", VLOOKUP(CONCATENATE(AT17), calendar, 13, FALSE), VLOOKUP(CONCATENATE("E", AT17), calendar, 13, FALSE))</f>
        <v>#REF!</v>
      </c>
      <c r="AY17" s="5">
        <v>8</v>
      </c>
      <c r="AZ17" s="5"/>
      <c r="BA17" s="5" t="str">
        <f>IF(AY17 = "NC", VLOOKUP(CONCATENATE(AY17), calendar, 11, FALSE), VLOOKUP(CONCATENATE("E", AY17), calendar, 11, FALSE))</f>
        <v>Chassis</v>
      </c>
      <c r="BB17" s="5" t="e">
        <f>IF(AY17 = "NC", VLOOKUP(CONCATENATE(AY17), calendar, 12, FALSE), VLOOKUP(CONCATENATE("E", AY17), calendar, 12, FALSE))</f>
        <v>#REF!</v>
      </c>
      <c r="BC17" s="5" t="e">
        <f>IF(AY17 = "NC", VLOOKUP(CONCATENATE(AY17), calendar, 13, FALSE), VLOOKUP(CONCATENATE("E", AY17), calendar, 13, FALSE))</f>
        <v>#REF!</v>
      </c>
      <c r="BD17" s="5">
        <v>9</v>
      </c>
      <c r="BE17" s="5"/>
      <c r="BF17" s="5" t="str">
        <f>IF(BD17 = "NC", VLOOKUP(CONCATENATE(BD17), calendar, 11, FALSE), VLOOKUP(CONCATENATE("E", BD17), calendar, 11, FALSE))</f>
        <v>Engine</v>
      </c>
      <c r="BG17" s="5" t="e">
        <f>IF(BD17 = "NC", VLOOKUP(CONCATENATE(BD17), calendar, 12, FALSE), VLOOKUP(CONCATENATE("E", BD17), calendar, 12, FALSE))</f>
        <v>#REF!</v>
      </c>
      <c r="BH17" s="5" t="e">
        <f>IF(BD17 = "NC", VLOOKUP(CONCATENATE(BD17), calendar, 13, FALSE), VLOOKUP(CONCATENATE("E", BD17), calendar, 13, FALSE))</f>
        <v>#REF!</v>
      </c>
      <c r="BI17" s="5">
        <v>10</v>
      </c>
      <c r="BJ17" s="5"/>
      <c r="BK17" s="5" t="str">
        <f>IF(BI17 = "NC", VLOOKUP(CONCATENATE(BI17), calendar, 11, FALSE), VLOOKUP(CONCATENATE("E", BI17), calendar, 11, FALSE))</f>
        <v>Suspension</v>
      </c>
      <c r="BL17" s="5" t="e">
        <f>IF(BI17 = "NC", VLOOKUP(CONCATENATE(BI17), calendar, 12, FALSE), VLOOKUP(CONCATENATE("E", BI17), calendar, 12, FALSE))</f>
        <v>#REF!</v>
      </c>
      <c r="BM17" s="5" t="e">
        <f>IF(BI17 = "NC", VLOOKUP(CONCATENATE(BI17), calendar, 13, FALSE), VLOOKUP(CONCATENATE("E", BI17), calendar, 13, FALSE))</f>
        <v>#REF!</v>
      </c>
      <c r="BN17" s="5">
        <v>11</v>
      </c>
      <c r="BO17" s="5"/>
      <c r="BP17" s="5" t="str">
        <f>IF(BN17 = "NC", VLOOKUP(CONCATENATE(BN17), calendar, 11, FALSE), VLOOKUP(CONCATENATE("E", BN17), calendar, 11, FALSE))</f>
        <v>Engine</v>
      </c>
      <c r="BQ17" s="5" t="e">
        <f>IF(BN17 = "NC", VLOOKUP(CONCATENATE(BN17), calendar, 12, FALSE), VLOOKUP(CONCATENATE("E", BN17), calendar, 12, FALSE))</f>
        <v>#REF!</v>
      </c>
      <c r="BR17" s="5" t="e">
        <f>IF(BN17 = "NC", VLOOKUP(CONCATENATE(BN17), calendar, 13, FALSE), VLOOKUP(CONCATENATE("E", BN17), calendar, 13, FALSE))</f>
        <v>#REF!</v>
      </c>
      <c r="BS17" s="5">
        <v>12</v>
      </c>
      <c r="BT17" s="5"/>
      <c r="BU17" s="5" t="str">
        <f>IF(BS17 = "NC", VLOOKUP(CONCATENATE(BS17), calendar, 11, FALSE), VLOOKUP(CONCATENATE("E", BS17), calendar, 11, FALSE))</f>
        <v>Engine</v>
      </c>
      <c r="BV17" s="5" t="e">
        <f>IF(BS17 = "NC", VLOOKUP(CONCATENATE(BS17), calendar, 12, FALSE), VLOOKUP(CONCATENATE("E", BS17), calendar, 12, FALSE))</f>
        <v>#REF!</v>
      </c>
      <c r="BW17" s="5" t="e">
        <f>IF(BS17 = "NC", VLOOKUP(CONCATENATE(BS17), calendar, 13, FALSE), VLOOKUP(CONCATENATE("E", BS17), calendar, 13, FALSE))</f>
        <v>#REF!</v>
      </c>
      <c r="BX17" s="5">
        <v>13</v>
      </c>
      <c r="BY17" s="5"/>
      <c r="BZ17" s="5" t="str">
        <f>IF(BX17 = "NC", VLOOKUP(CONCATENATE(BX17), calendar, 11, FALSE), VLOOKUP(CONCATENATE("E", BX17), calendar, 11, FALSE))</f>
        <v>Engine</v>
      </c>
      <c r="CA17" s="5" t="e">
        <f>IF(BX17 = "NC", VLOOKUP(CONCATENATE(BX17), calendar, 12, FALSE), VLOOKUP(CONCATENATE("E", BX17), calendar, 12, FALSE))</f>
        <v>#REF!</v>
      </c>
      <c r="CB17" s="5" t="e">
        <f>IF(BX17 = "NC", VLOOKUP(CONCATENATE(BX17), calendar, 13, FALSE), VLOOKUP(CONCATENATE("E", BX17), calendar, 13, FALSE))</f>
        <v>#REF!</v>
      </c>
      <c r="CC17" s="5" t="e">
        <f>ROUND(SUM(CC5:CC14) / 10, 1)</f>
        <v>#REF!</v>
      </c>
      <c r="CD17" s="5" t="e">
        <f>ROUND(SUM(CD5:CD14) / 10, 1)</f>
        <v>#REF!</v>
      </c>
    </row>
    <row r="18" spans="11:82" ht="16.8" customHeight="1" x14ac:dyDescent="0.3">
      <c r="K18" s="5" t="e">
        <f>MAX(K5:K14) - MIN(K5:K14)</f>
        <v>#REF!</v>
      </c>
      <c r="L18" s="5"/>
      <c r="M18" s="5">
        <f t="shared" ref="M18:CC18" si="29">MAX(M5:M14) - MIN(M5:M14)</f>
        <v>0</v>
      </c>
      <c r="N18" s="5" t="e">
        <f t="shared" si="29"/>
        <v>#REF!</v>
      </c>
      <c r="O18" s="5" t="e">
        <f t="shared" si="29"/>
        <v>#REF!</v>
      </c>
      <c r="P18" s="5" t="e">
        <f t="shared" si="29"/>
        <v>#REF!</v>
      </c>
      <c r="Q18" s="5"/>
      <c r="R18" s="5">
        <f t="shared" si="29"/>
        <v>0</v>
      </c>
      <c r="S18" s="5" t="e">
        <f t="shared" si="29"/>
        <v>#REF!</v>
      </c>
      <c r="T18" s="5" t="e">
        <f t="shared" si="29"/>
        <v>#REF!</v>
      </c>
      <c r="U18" s="5" t="e">
        <f t="shared" si="29"/>
        <v>#N/A</v>
      </c>
      <c r="V18" s="5"/>
      <c r="W18" s="5" t="e">
        <f t="shared" si="29"/>
        <v>#N/A</v>
      </c>
      <c r="X18" s="5" t="e">
        <f t="shared" si="29"/>
        <v>#N/A</v>
      </c>
      <c r="Y18" s="5" t="e">
        <f t="shared" si="29"/>
        <v>#N/A</v>
      </c>
      <c r="Z18" s="5" t="e">
        <f t="shared" si="29"/>
        <v>#REF!</v>
      </c>
      <c r="AA18" s="5"/>
      <c r="AB18" s="5">
        <f t="shared" si="29"/>
        <v>0</v>
      </c>
      <c r="AC18" s="5" t="e">
        <f t="shared" si="29"/>
        <v>#REF!</v>
      </c>
      <c r="AD18" s="5" t="e">
        <f t="shared" si="29"/>
        <v>#REF!</v>
      </c>
      <c r="AE18" s="5" t="e">
        <f t="shared" si="29"/>
        <v>#REF!</v>
      </c>
      <c r="AF18" s="5"/>
      <c r="AG18" s="5">
        <f t="shared" si="29"/>
        <v>7</v>
      </c>
      <c r="AH18" s="5" t="e">
        <f t="shared" si="29"/>
        <v>#REF!</v>
      </c>
      <c r="AI18" s="5" t="e">
        <f t="shared" si="29"/>
        <v>#REF!</v>
      </c>
      <c r="AJ18" s="5" t="e">
        <f t="shared" si="29"/>
        <v>#REF!</v>
      </c>
      <c r="AK18" s="5"/>
      <c r="AL18" s="5">
        <f t="shared" si="29"/>
        <v>7</v>
      </c>
      <c r="AM18" s="5" t="e">
        <f t="shared" si="29"/>
        <v>#REF!</v>
      </c>
      <c r="AN18" s="5" t="e">
        <f t="shared" si="29"/>
        <v>#REF!</v>
      </c>
      <c r="AO18" s="5" t="e">
        <f t="shared" si="29"/>
        <v>#REF!</v>
      </c>
      <c r="AP18" s="5"/>
      <c r="AQ18" s="5">
        <f t="shared" si="29"/>
        <v>7</v>
      </c>
      <c r="AR18" s="5" t="e">
        <f t="shared" si="29"/>
        <v>#REF!</v>
      </c>
      <c r="AS18" s="5" t="e">
        <f t="shared" si="29"/>
        <v>#REF!</v>
      </c>
      <c r="AT18" s="5" t="e">
        <f t="shared" si="29"/>
        <v>#REF!</v>
      </c>
      <c r="AU18" s="5"/>
      <c r="AV18" s="5">
        <f t="shared" si="29"/>
        <v>6</v>
      </c>
      <c r="AW18" s="5" t="e">
        <f t="shared" si="29"/>
        <v>#REF!</v>
      </c>
      <c r="AX18" s="5" t="e">
        <f t="shared" si="29"/>
        <v>#REF!</v>
      </c>
      <c r="AY18" s="5" t="e">
        <f t="shared" si="29"/>
        <v>#REF!</v>
      </c>
      <c r="AZ18" s="5"/>
      <c r="BA18" s="5">
        <f t="shared" si="29"/>
        <v>6</v>
      </c>
      <c r="BB18" s="5" t="e">
        <f t="shared" si="29"/>
        <v>#REF!</v>
      </c>
      <c r="BC18" s="5" t="e">
        <f t="shared" si="29"/>
        <v>#REF!</v>
      </c>
      <c r="BD18" s="5" t="e">
        <f t="shared" si="29"/>
        <v>#REF!</v>
      </c>
      <c r="BE18" s="5"/>
      <c r="BF18" s="5">
        <f t="shared" si="29"/>
        <v>0</v>
      </c>
      <c r="BG18" s="5" t="e">
        <f t="shared" si="29"/>
        <v>#REF!</v>
      </c>
      <c r="BH18" s="5" t="e">
        <f t="shared" si="29"/>
        <v>#REF!</v>
      </c>
      <c r="BI18" s="5" t="e">
        <f t="shared" si="29"/>
        <v>#REF!</v>
      </c>
      <c r="BJ18" s="5"/>
      <c r="BK18" s="5">
        <f t="shared" si="29"/>
        <v>7</v>
      </c>
      <c r="BL18" s="5" t="e">
        <f t="shared" si="29"/>
        <v>#REF!</v>
      </c>
      <c r="BM18" s="5" t="e">
        <f t="shared" si="29"/>
        <v>#REF!</v>
      </c>
      <c r="BN18" s="5" t="e">
        <f t="shared" si="29"/>
        <v>#REF!</v>
      </c>
      <c r="BO18" s="5"/>
      <c r="BP18" s="5">
        <f t="shared" si="29"/>
        <v>0</v>
      </c>
      <c r="BQ18" s="5" t="e">
        <f t="shared" si="29"/>
        <v>#REF!</v>
      </c>
      <c r="BR18" s="5" t="e">
        <f t="shared" si="29"/>
        <v>#REF!</v>
      </c>
      <c r="BS18" s="5" t="e">
        <f t="shared" si="29"/>
        <v>#REF!</v>
      </c>
      <c r="BT18" s="5"/>
      <c r="BU18" s="5">
        <f t="shared" si="29"/>
        <v>0</v>
      </c>
      <c r="BV18" s="5" t="e">
        <f t="shared" si="29"/>
        <v>#REF!</v>
      </c>
      <c r="BW18" s="5" t="e">
        <f t="shared" si="29"/>
        <v>#REF!</v>
      </c>
      <c r="BX18" s="5" t="e">
        <f t="shared" si="29"/>
        <v>#REF!</v>
      </c>
      <c r="BY18" s="5"/>
      <c r="BZ18" s="5">
        <f t="shared" si="29"/>
        <v>0</v>
      </c>
      <c r="CA18" s="5" t="e">
        <f t="shared" si="29"/>
        <v>#REF!</v>
      </c>
      <c r="CB18" s="5" t="e">
        <f t="shared" si="29"/>
        <v>#REF!</v>
      </c>
      <c r="CC18" s="5" t="e">
        <f t="shared" si="29"/>
        <v>#REF!</v>
      </c>
      <c r="CD18" s="5" t="e">
        <f t="shared" ref="CD18" si="30">MAX(CD5:CD14) - MIN(CD5:CD14)</f>
        <v>#REF!</v>
      </c>
    </row>
    <row r="20" spans="11:82" ht="14.4" customHeight="1" x14ac:dyDescent="0.3"/>
  </sheetData>
  <mergeCells count="31">
    <mergeCell ref="B2:E2"/>
    <mergeCell ref="B3:E3"/>
    <mergeCell ref="N4:O4"/>
    <mergeCell ref="K4:L4"/>
    <mergeCell ref="CA4:CB4"/>
    <mergeCell ref="X4:Y4"/>
    <mergeCell ref="AC4:AD4"/>
    <mergeCell ref="AH4:AI4"/>
    <mergeCell ref="AM4:AN4"/>
    <mergeCell ref="AR4:AS4"/>
    <mergeCell ref="AW4:AX4"/>
    <mergeCell ref="BB4:BC4"/>
    <mergeCell ref="BG4:BH4"/>
    <mergeCell ref="BL4:BM4"/>
    <mergeCell ref="BQ4:BR4"/>
    <mergeCell ref="BV4:BW4"/>
    <mergeCell ref="CC4:CD4"/>
    <mergeCell ref="P4:Q4"/>
    <mergeCell ref="U4:V4"/>
    <mergeCell ref="Z4:AA4"/>
    <mergeCell ref="AE4:AF4"/>
    <mergeCell ref="AJ4:AK4"/>
    <mergeCell ref="AO4:AP4"/>
    <mergeCell ref="AT4:AU4"/>
    <mergeCell ref="AY4:AZ4"/>
    <mergeCell ref="BD4:BE4"/>
    <mergeCell ref="BI4:BJ4"/>
    <mergeCell ref="BN4:BO4"/>
    <mergeCell ref="BS4:BT4"/>
    <mergeCell ref="BX4:BY4"/>
    <mergeCell ref="S4:T4"/>
  </mergeCells>
  <phoneticPr fontId="1" type="noConversion"/>
  <conditionalFormatting sqref="C5:C14">
    <cfRule type="cellIs" dxfId="213" priority="37" operator="equal">
      <formula>"Lola"</formula>
    </cfRule>
    <cfRule type="cellIs" dxfId="212" priority="46" operator="equal">
      <formula>"March"</formula>
    </cfRule>
    <cfRule type="cellIs" dxfId="211" priority="47" operator="equal">
      <formula>"Reynard"</formula>
    </cfRule>
    <cfRule type="cellIs" dxfId="210" priority="48" operator="equal">
      <formula>"Tatuus"</formula>
    </cfRule>
  </conditionalFormatting>
  <conditionalFormatting sqref="D5:D14">
    <cfRule type="cellIs" dxfId="209" priority="42" operator="equal">
      <formula>"Honda"</formula>
    </cfRule>
    <cfRule type="cellIs" dxfId="208" priority="43" operator="equal">
      <formula>"Chevrolet"</formula>
    </cfRule>
    <cfRule type="cellIs" dxfId="207" priority="44" operator="equal">
      <formula>"Toyota"</formula>
    </cfRule>
    <cfRule type="cellIs" dxfId="206" priority="45" operator="equal">
      <formula>"Porsche"</formula>
    </cfRule>
  </conditionalFormatting>
  <conditionalFormatting sqref="E5:E14">
    <cfRule type="cellIs" dxfId="205" priority="38" operator="equal">
      <formula>"Firestone"</formula>
    </cfRule>
    <cfRule type="cellIs" dxfId="204" priority="39" operator="equal">
      <formula>"Pirelli"</formula>
    </cfRule>
    <cfRule type="cellIs" dxfId="203" priority="40" operator="equal">
      <formula>"Michelin"</formula>
    </cfRule>
    <cfRule type="cellIs" dxfId="202" priority="41" operator="equal">
      <formula>"Hankook"</formula>
    </cfRule>
  </conditionalFormatting>
  <conditionalFormatting sqref="H5:H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:Z1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A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1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:AJ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:AK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:AO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:AP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:AT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:AU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:AY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:AZ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:BI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5:BJ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5:BN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:BO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:BS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5:BT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5:BX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5:BY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5:CC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5:C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FE8B-3D05-42AD-8C6A-D5A16401F2CD}">
  <dimension ref="B1:BI29"/>
  <sheetViews>
    <sheetView zoomScaleNormal="100" workbookViewId="0">
      <selection activeCell="F2" sqref="F2"/>
    </sheetView>
  </sheetViews>
  <sheetFormatPr defaultRowHeight="16.8" customHeight="1" x14ac:dyDescent="0.3"/>
  <cols>
    <col min="1" max="1" width="3.109375" style="4" customWidth="1"/>
    <col min="2" max="2" width="27.77734375" style="4" customWidth="1"/>
    <col min="3" max="3" width="11.109375" style="4" customWidth="1"/>
    <col min="4" max="5" width="3.109375" style="4" customWidth="1"/>
    <col min="6" max="6" width="27.77734375" style="4" customWidth="1"/>
    <col min="7" max="11" width="17.77734375" style="4" customWidth="1"/>
    <col min="12" max="12" width="13.33203125" style="4" customWidth="1"/>
    <col min="13" max="14" width="3.109375" style="4" customWidth="1"/>
    <col min="15" max="15" width="27.77734375" style="4" customWidth="1"/>
    <col min="16" max="16" width="11.109375" style="4" customWidth="1"/>
    <col min="17" max="18" width="3.109375" style="4" customWidth="1"/>
    <col min="19" max="19" width="27.77734375" style="4" customWidth="1"/>
    <col min="20" max="23" width="17.77734375" style="4" customWidth="1"/>
    <col min="24" max="24" width="13.33203125" style="4" customWidth="1"/>
    <col min="25" max="26" width="3.109375" style="4" customWidth="1"/>
    <col min="27" max="28" width="11.109375" style="4" customWidth="1"/>
    <col min="29" max="30" width="3.109375" style="4" customWidth="1"/>
    <col min="31" max="31" width="11.109375" style="4" customWidth="1"/>
    <col min="32" max="33" width="15.5546875" style="4" customWidth="1"/>
    <col min="34" max="34" width="13.33203125" style="4" customWidth="1"/>
    <col min="35" max="36" width="3.109375" style="4" customWidth="1"/>
    <col min="37" max="38" width="11.109375" style="4" customWidth="1"/>
    <col min="39" max="40" width="3.109375" style="4" customWidth="1"/>
    <col min="41" max="41" width="11.109375" style="4" customWidth="1"/>
    <col min="42" max="43" width="15.5546875" style="4" customWidth="1"/>
    <col min="44" max="44" width="13.33203125" style="4" customWidth="1"/>
    <col min="45" max="46" width="3.109375" style="4" customWidth="1"/>
    <col min="47" max="48" width="11.109375" style="4" customWidth="1"/>
    <col min="49" max="50" width="3.109375" style="4" customWidth="1"/>
    <col min="51" max="51" width="11.109375" style="4" customWidth="1"/>
    <col min="52" max="52" width="13.33203125" style="4" customWidth="1"/>
    <col min="53" max="54" width="3.109375" style="4" customWidth="1"/>
    <col min="55" max="55" width="27.77734375" style="4" customWidth="1"/>
    <col min="56" max="57" width="17.77734375" style="4" customWidth="1"/>
    <col min="58" max="59" width="3.109375" style="4" customWidth="1"/>
    <col min="60" max="60" width="11.109375" style="4" customWidth="1"/>
    <col min="61" max="61" width="15.5546875" style="4" customWidth="1"/>
    <col min="62" max="63" width="3.109375" style="4" customWidth="1"/>
    <col min="64" max="16384" width="8.88671875" style="4"/>
  </cols>
  <sheetData>
    <row r="1" spans="2:61" ht="16.8" customHeight="1" thickBot="1" x14ac:dyDescent="0.35"/>
    <row r="2" spans="2:61" ht="16.8" customHeight="1" thickBot="1" x14ac:dyDescent="0.35">
      <c r="B2" s="180" t="s">
        <v>609</v>
      </c>
      <c r="C2" s="182"/>
      <c r="O2" s="180" t="s">
        <v>609</v>
      </c>
      <c r="P2" s="182"/>
      <c r="S2" s="180" t="s">
        <v>609</v>
      </c>
      <c r="T2" s="181"/>
      <c r="U2" s="181"/>
      <c r="V2" s="181"/>
      <c r="W2" s="181"/>
      <c r="X2" s="182"/>
      <c r="AA2" s="180" t="s">
        <v>609</v>
      </c>
      <c r="AB2" s="182"/>
      <c r="AK2" s="180" t="s">
        <v>609</v>
      </c>
      <c r="AL2" s="182"/>
      <c r="AU2" s="180" t="s">
        <v>609</v>
      </c>
      <c r="AV2" s="182"/>
      <c r="BC2" s="180" t="s">
        <v>609</v>
      </c>
      <c r="BD2" s="181"/>
      <c r="BE2" s="182"/>
      <c r="BH2" s="7" t="s">
        <v>381</v>
      </c>
      <c r="BI2" s="7" t="s">
        <v>391</v>
      </c>
    </row>
    <row r="3" spans="2:61" ht="16.8" customHeight="1" thickBot="1" x14ac:dyDescent="0.35">
      <c r="B3" s="171" t="s">
        <v>515</v>
      </c>
      <c r="C3" s="173"/>
      <c r="O3" s="171" t="s">
        <v>517</v>
      </c>
      <c r="P3" s="173"/>
      <c r="S3" s="171" t="s">
        <v>516</v>
      </c>
      <c r="T3" s="172"/>
      <c r="U3" s="172"/>
      <c r="V3" s="172"/>
      <c r="W3" s="172"/>
      <c r="X3" s="173"/>
      <c r="AA3" s="171" t="s">
        <v>378</v>
      </c>
      <c r="AB3" s="173"/>
      <c r="AK3" s="171" t="s">
        <v>379</v>
      </c>
      <c r="AL3" s="173"/>
      <c r="AU3" s="171" t="s">
        <v>380</v>
      </c>
      <c r="AV3" s="173"/>
      <c r="BC3" s="171" t="s">
        <v>512</v>
      </c>
      <c r="BD3" s="172"/>
      <c r="BE3" s="173"/>
      <c r="BH3" s="114" t="s">
        <v>34</v>
      </c>
      <c r="BI3" s="10"/>
    </row>
    <row r="4" spans="2:61" ht="16.8" customHeight="1" thickBot="1" x14ac:dyDescent="0.35">
      <c r="B4" s="7" t="s">
        <v>0</v>
      </c>
      <c r="C4" s="7" t="s">
        <v>377</v>
      </c>
      <c r="F4" s="7" t="s">
        <v>0</v>
      </c>
      <c r="G4" s="32" t="s">
        <v>386</v>
      </c>
      <c r="H4" s="33" t="s">
        <v>387</v>
      </c>
      <c r="I4" s="33" t="s">
        <v>388</v>
      </c>
      <c r="J4" s="33" t="s">
        <v>389</v>
      </c>
      <c r="K4" s="34" t="s">
        <v>390</v>
      </c>
      <c r="L4" s="7" t="s">
        <v>400</v>
      </c>
      <c r="O4" s="7" t="s">
        <v>0</v>
      </c>
      <c r="P4" s="7" t="s">
        <v>377</v>
      </c>
      <c r="S4" s="7" t="s">
        <v>0</v>
      </c>
      <c r="T4" s="32" t="s">
        <v>386</v>
      </c>
      <c r="U4" s="33" t="s">
        <v>387</v>
      </c>
      <c r="V4" s="33" t="s">
        <v>388</v>
      </c>
      <c r="W4" s="34" t="s">
        <v>389</v>
      </c>
      <c r="X4" s="7" t="s">
        <v>400</v>
      </c>
      <c r="AA4" s="7" t="s">
        <v>381</v>
      </c>
      <c r="AB4" s="7" t="s">
        <v>377</v>
      </c>
      <c r="AE4" s="7" t="s">
        <v>381</v>
      </c>
      <c r="AF4" s="32" t="s">
        <v>386</v>
      </c>
      <c r="AG4" s="34" t="s">
        <v>387</v>
      </c>
      <c r="AH4" s="7" t="s">
        <v>400</v>
      </c>
      <c r="AK4" s="7" t="s">
        <v>381</v>
      </c>
      <c r="AL4" s="7" t="s">
        <v>377</v>
      </c>
      <c r="AO4" s="7" t="s">
        <v>381</v>
      </c>
      <c r="AP4" s="32" t="s">
        <v>386</v>
      </c>
      <c r="AQ4" s="34" t="s">
        <v>387</v>
      </c>
      <c r="AR4" s="7" t="s">
        <v>400</v>
      </c>
      <c r="AU4" s="7" t="s">
        <v>381</v>
      </c>
      <c r="AV4" s="7" t="s">
        <v>377</v>
      </c>
      <c r="AY4" s="7" t="s">
        <v>381</v>
      </c>
      <c r="AZ4" s="7" t="s">
        <v>391</v>
      </c>
      <c r="BC4" s="7" t="s">
        <v>0</v>
      </c>
      <c r="BD4" s="32" t="s">
        <v>386</v>
      </c>
      <c r="BE4" s="34" t="s">
        <v>387</v>
      </c>
      <c r="BH4" s="72" t="s">
        <v>439</v>
      </c>
      <c r="BI4" s="11"/>
    </row>
    <row r="5" spans="2:61" ht="16.8" customHeight="1" x14ac:dyDescent="0.3">
      <c r="B5" s="37" t="s">
        <v>334</v>
      </c>
      <c r="C5" s="10">
        <v>1</v>
      </c>
      <c r="F5" s="37" t="s">
        <v>334</v>
      </c>
      <c r="G5" s="13" t="s">
        <v>634</v>
      </c>
      <c r="H5" s="30" t="s">
        <v>131</v>
      </c>
      <c r="I5" s="30" t="s">
        <v>131</v>
      </c>
      <c r="J5" s="30" t="s">
        <v>131</v>
      </c>
      <c r="K5" s="14" t="s">
        <v>131</v>
      </c>
      <c r="L5" s="10">
        <v>2</v>
      </c>
      <c r="O5" s="89" t="s">
        <v>308</v>
      </c>
      <c r="P5" s="10">
        <v>3</v>
      </c>
      <c r="S5" s="89" t="s">
        <v>308</v>
      </c>
      <c r="T5" s="13" t="s">
        <v>647</v>
      </c>
      <c r="U5" s="30" t="s">
        <v>648</v>
      </c>
      <c r="V5" s="30" t="s">
        <v>649</v>
      </c>
      <c r="W5" s="14" t="s">
        <v>131</v>
      </c>
      <c r="X5" s="10">
        <v>6</v>
      </c>
      <c r="AA5" s="114" t="s">
        <v>34</v>
      </c>
      <c r="AB5" s="10">
        <v>1</v>
      </c>
      <c r="AE5" s="114" t="s">
        <v>34</v>
      </c>
      <c r="AF5" s="13" t="s">
        <v>640</v>
      </c>
      <c r="AG5" s="14" t="s">
        <v>131</v>
      </c>
      <c r="AH5" s="10">
        <v>3</v>
      </c>
      <c r="AK5" s="116" t="s">
        <v>8</v>
      </c>
      <c r="AL5" s="10">
        <v>2</v>
      </c>
      <c r="AO5" s="116" t="s">
        <v>8</v>
      </c>
      <c r="AP5" s="13" t="s">
        <v>661</v>
      </c>
      <c r="AQ5" s="14" t="s">
        <v>662</v>
      </c>
      <c r="AR5" s="10">
        <v>3</v>
      </c>
      <c r="AU5" s="21" t="s">
        <v>11</v>
      </c>
      <c r="AV5" s="10">
        <v>1</v>
      </c>
      <c r="AY5" s="21" t="s">
        <v>11</v>
      </c>
      <c r="AZ5" s="10" t="s">
        <v>666</v>
      </c>
      <c r="BC5" s="89" t="s">
        <v>308</v>
      </c>
      <c r="BD5" s="13"/>
      <c r="BE5" s="14"/>
      <c r="BH5" s="69" t="s">
        <v>5</v>
      </c>
      <c r="BI5" s="11"/>
    </row>
    <row r="6" spans="2:61" ht="16.8" customHeight="1" thickBot="1" x14ac:dyDescent="0.35">
      <c r="B6" s="35" t="s">
        <v>308</v>
      </c>
      <c r="C6" s="11">
        <v>2</v>
      </c>
      <c r="F6" s="35" t="s">
        <v>308</v>
      </c>
      <c r="G6" s="15" t="s">
        <v>635</v>
      </c>
      <c r="H6" s="5" t="s">
        <v>636</v>
      </c>
      <c r="I6" s="5" t="s">
        <v>131</v>
      </c>
      <c r="J6" s="5" t="s">
        <v>131</v>
      </c>
      <c r="K6" s="16" t="s">
        <v>131</v>
      </c>
      <c r="L6" s="11">
        <v>5</v>
      </c>
      <c r="O6" s="36" t="s">
        <v>339</v>
      </c>
      <c r="P6" s="11">
        <v>2</v>
      </c>
      <c r="S6" s="36" t="s">
        <v>339</v>
      </c>
      <c r="T6" s="15" t="s">
        <v>650</v>
      </c>
      <c r="U6" s="5" t="s">
        <v>651</v>
      </c>
      <c r="V6" s="5" t="s">
        <v>131</v>
      </c>
      <c r="W6" s="16" t="s">
        <v>131</v>
      </c>
      <c r="X6" s="11">
        <v>4</v>
      </c>
      <c r="AA6" s="72" t="s">
        <v>439</v>
      </c>
      <c r="AB6" s="11">
        <v>2</v>
      </c>
      <c r="AE6" s="72" t="s">
        <v>439</v>
      </c>
      <c r="AF6" s="15" t="s">
        <v>640</v>
      </c>
      <c r="AG6" s="16" t="s">
        <v>637</v>
      </c>
      <c r="AH6" s="11">
        <v>6</v>
      </c>
      <c r="AK6" s="66" t="s">
        <v>7</v>
      </c>
      <c r="AL6" s="11">
        <v>2</v>
      </c>
      <c r="AO6" s="66" t="s">
        <v>7</v>
      </c>
      <c r="AP6" s="15" t="s">
        <v>663</v>
      </c>
      <c r="AQ6" s="16" t="s">
        <v>664</v>
      </c>
      <c r="AR6" s="11">
        <v>6</v>
      </c>
      <c r="AU6" s="67" t="s">
        <v>13</v>
      </c>
      <c r="AV6" s="11">
        <v>1</v>
      </c>
      <c r="AY6" s="67" t="s">
        <v>13</v>
      </c>
      <c r="AZ6" s="11" t="s">
        <v>667</v>
      </c>
      <c r="BC6" s="36" t="s">
        <v>339</v>
      </c>
      <c r="BD6" s="15"/>
      <c r="BE6" s="16"/>
      <c r="BH6" s="115" t="s">
        <v>6</v>
      </c>
      <c r="BI6" s="12"/>
    </row>
    <row r="7" spans="2:61" ht="16.8" customHeight="1" thickBot="1" x14ac:dyDescent="0.35">
      <c r="B7" s="162" t="s">
        <v>711</v>
      </c>
      <c r="C7" s="11">
        <v>2</v>
      </c>
      <c r="F7" s="162" t="s">
        <v>711</v>
      </c>
      <c r="G7" s="15" t="s">
        <v>637</v>
      </c>
      <c r="H7" s="5" t="s">
        <v>638</v>
      </c>
      <c r="I7" s="5" t="s">
        <v>131</v>
      </c>
      <c r="J7" s="5" t="s">
        <v>131</v>
      </c>
      <c r="K7" s="16" t="s">
        <v>131</v>
      </c>
      <c r="L7" s="11">
        <v>4</v>
      </c>
      <c r="O7" s="37" t="s">
        <v>334</v>
      </c>
      <c r="P7" s="11">
        <v>2</v>
      </c>
      <c r="S7" s="37" t="s">
        <v>334</v>
      </c>
      <c r="T7" s="15" t="s">
        <v>647</v>
      </c>
      <c r="U7" s="5" t="s">
        <v>648</v>
      </c>
      <c r="V7" s="5" t="s">
        <v>131</v>
      </c>
      <c r="W7" s="16" t="s">
        <v>131</v>
      </c>
      <c r="X7" s="11">
        <v>4</v>
      </c>
      <c r="AA7" s="69" t="s">
        <v>5</v>
      </c>
      <c r="AB7" s="11">
        <v>1</v>
      </c>
      <c r="AE7" s="69" t="s">
        <v>5</v>
      </c>
      <c r="AF7" s="15" t="s">
        <v>659</v>
      </c>
      <c r="AG7" s="16" t="s">
        <v>131</v>
      </c>
      <c r="AH7" s="11">
        <v>1</v>
      </c>
      <c r="AK7" s="76" t="s">
        <v>10</v>
      </c>
      <c r="AL7" s="11">
        <v>2</v>
      </c>
      <c r="AO7" s="76" t="s">
        <v>10</v>
      </c>
      <c r="AP7" s="15" t="s">
        <v>664</v>
      </c>
      <c r="AQ7" s="16" t="s">
        <v>665</v>
      </c>
      <c r="AR7" s="11">
        <v>5</v>
      </c>
      <c r="AU7" s="118" t="s">
        <v>12</v>
      </c>
      <c r="AV7" s="12">
        <v>1</v>
      </c>
      <c r="AY7" s="118" t="s">
        <v>12</v>
      </c>
      <c r="AZ7" s="12" t="s">
        <v>668</v>
      </c>
      <c r="BC7" s="37" t="s">
        <v>334</v>
      </c>
      <c r="BD7" s="15"/>
      <c r="BE7" s="16"/>
    </row>
    <row r="8" spans="2:61" ht="16.8" customHeight="1" thickBot="1" x14ac:dyDescent="0.35">
      <c r="B8" s="139" t="s">
        <v>607</v>
      </c>
      <c r="C8" s="11">
        <v>2</v>
      </c>
      <c r="F8" s="139" t="s">
        <v>607</v>
      </c>
      <c r="G8" s="15" t="s">
        <v>639</v>
      </c>
      <c r="H8" s="5" t="s">
        <v>640</v>
      </c>
      <c r="I8" s="5" t="s">
        <v>131</v>
      </c>
      <c r="J8" s="5" t="s">
        <v>131</v>
      </c>
      <c r="K8" s="16" t="s">
        <v>131</v>
      </c>
      <c r="L8" s="11">
        <v>4</v>
      </c>
      <c r="O8" s="131" t="s">
        <v>605</v>
      </c>
      <c r="P8" s="11">
        <v>4</v>
      </c>
      <c r="S8" s="131" t="s">
        <v>605</v>
      </c>
      <c r="T8" s="15" t="s">
        <v>647</v>
      </c>
      <c r="U8" s="5" t="s">
        <v>648</v>
      </c>
      <c r="V8" s="5" t="s">
        <v>651</v>
      </c>
      <c r="W8" s="16" t="s">
        <v>649</v>
      </c>
      <c r="X8" s="11">
        <v>9</v>
      </c>
      <c r="AA8" s="115" t="s">
        <v>6</v>
      </c>
      <c r="AB8" s="12">
        <v>2</v>
      </c>
      <c r="AE8" s="115" t="s">
        <v>6</v>
      </c>
      <c r="AF8" s="17" t="s">
        <v>660</v>
      </c>
      <c r="AG8" s="18" t="s">
        <v>659</v>
      </c>
      <c r="AH8" s="12">
        <v>3</v>
      </c>
      <c r="AK8" s="117" t="s">
        <v>9</v>
      </c>
      <c r="AL8" s="12">
        <v>2</v>
      </c>
      <c r="AO8" s="117" t="s">
        <v>9</v>
      </c>
      <c r="AP8" s="17" t="s">
        <v>662</v>
      </c>
      <c r="AQ8" s="18" t="s">
        <v>661</v>
      </c>
      <c r="AR8" s="12">
        <v>3</v>
      </c>
      <c r="BC8" s="131" t="s">
        <v>605</v>
      </c>
      <c r="BD8" s="15"/>
      <c r="BE8" s="16"/>
    </row>
    <row r="9" spans="2:61" ht="16.8" customHeight="1" thickBot="1" x14ac:dyDescent="0.35">
      <c r="B9" s="43" t="s">
        <v>437</v>
      </c>
      <c r="C9" s="11">
        <v>3</v>
      </c>
      <c r="F9" s="43" t="s">
        <v>437</v>
      </c>
      <c r="G9" s="15" t="s">
        <v>641</v>
      </c>
      <c r="H9" s="5" t="s">
        <v>642</v>
      </c>
      <c r="I9" s="5" t="s">
        <v>636</v>
      </c>
      <c r="J9" s="5" t="s">
        <v>131</v>
      </c>
      <c r="K9" s="16" t="s">
        <v>131</v>
      </c>
      <c r="L9" s="11">
        <v>8</v>
      </c>
      <c r="O9" s="139" t="s">
        <v>607</v>
      </c>
      <c r="P9" s="11">
        <v>3</v>
      </c>
      <c r="S9" s="139" t="s">
        <v>607</v>
      </c>
      <c r="T9" s="15" t="s">
        <v>652</v>
      </c>
      <c r="U9" s="5" t="s">
        <v>653</v>
      </c>
      <c r="V9" s="5" t="s">
        <v>654</v>
      </c>
      <c r="W9" s="16" t="s">
        <v>131</v>
      </c>
      <c r="X9" s="11">
        <v>6</v>
      </c>
      <c r="BC9" s="139" t="s">
        <v>607</v>
      </c>
      <c r="BD9" s="15"/>
      <c r="BE9" s="16"/>
    </row>
    <row r="10" spans="2:61" ht="16.8" customHeight="1" thickBot="1" x14ac:dyDescent="0.35">
      <c r="B10" s="40" t="s">
        <v>325</v>
      </c>
      <c r="C10" s="11">
        <v>3</v>
      </c>
      <c r="F10" s="40" t="s">
        <v>325</v>
      </c>
      <c r="G10" s="15" t="s">
        <v>637</v>
      </c>
      <c r="H10" s="5" t="s">
        <v>643</v>
      </c>
      <c r="I10" s="5" t="s">
        <v>644</v>
      </c>
      <c r="J10" s="5" t="s">
        <v>131</v>
      </c>
      <c r="K10" s="16" t="s">
        <v>131</v>
      </c>
      <c r="L10" s="11">
        <v>6</v>
      </c>
      <c r="O10" s="40" t="s">
        <v>325</v>
      </c>
      <c r="P10" s="11">
        <v>4</v>
      </c>
      <c r="S10" s="40" t="s">
        <v>325</v>
      </c>
      <c r="T10" s="15" t="s">
        <v>655</v>
      </c>
      <c r="U10" s="5" t="s">
        <v>648</v>
      </c>
      <c r="V10" s="5" t="s">
        <v>656</v>
      </c>
      <c r="W10" s="16" t="s">
        <v>657</v>
      </c>
      <c r="X10" s="11">
        <v>7</v>
      </c>
      <c r="BC10" s="40" t="s">
        <v>325</v>
      </c>
      <c r="BD10" s="15"/>
      <c r="BE10" s="16"/>
      <c r="BH10" s="7" t="s">
        <v>381</v>
      </c>
      <c r="BI10" s="7" t="s">
        <v>391</v>
      </c>
    </row>
    <row r="11" spans="2:61" ht="16.8" customHeight="1" x14ac:dyDescent="0.3">
      <c r="B11" s="42" t="s">
        <v>335</v>
      </c>
      <c r="C11" s="11">
        <v>3</v>
      </c>
      <c r="F11" s="42" t="s">
        <v>335</v>
      </c>
      <c r="G11" s="15" t="s">
        <v>644</v>
      </c>
      <c r="H11" s="5" t="s">
        <v>636</v>
      </c>
      <c r="I11" s="5" t="s">
        <v>639</v>
      </c>
      <c r="J11" s="5" t="s">
        <v>131</v>
      </c>
      <c r="K11" s="16" t="s">
        <v>131</v>
      </c>
      <c r="L11" s="11">
        <v>5</v>
      </c>
      <c r="O11" s="41" t="s">
        <v>554</v>
      </c>
      <c r="P11" s="11">
        <v>3</v>
      </c>
      <c r="S11" s="41" t="s">
        <v>554</v>
      </c>
      <c r="T11" s="15" t="s">
        <v>655</v>
      </c>
      <c r="U11" s="5" t="s">
        <v>650</v>
      </c>
      <c r="V11" s="5" t="s">
        <v>656</v>
      </c>
      <c r="W11" s="16" t="s">
        <v>131</v>
      </c>
      <c r="X11" s="11">
        <v>5</v>
      </c>
      <c r="BC11" s="41" t="s">
        <v>554</v>
      </c>
      <c r="BD11" s="15"/>
      <c r="BE11" s="16"/>
      <c r="BH11" s="116" t="s">
        <v>8</v>
      </c>
      <c r="BI11" s="10"/>
    </row>
    <row r="12" spans="2:61" ht="16.8" customHeight="1" x14ac:dyDescent="0.3">
      <c r="B12" s="41" t="s">
        <v>554</v>
      </c>
      <c r="C12" s="11">
        <v>4</v>
      </c>
      <c r="F12" s="41" t="s">
        <v>554</v>
      </c>
      <c r="G12" s="15" t="s">
        <v>645</v>
      </c>
      <c r="H12" s="5" t="s">
        <v>635</v>
      </c>
      <c r="I12" s="5" t="s">
        <v>638</v>
      </c>
      <c r="J12" s="5" t="s">
        <v>642</v>
      </c>
      <c r="K12" s="16" t="s">
        <v>131</v>
      </c>
      <c r="L12" s="11">
        <v>8</v>
      </c>
      <c r="O12" s="42" t="s">
        <v>335</v>
      </c>
      <c r="P12" s="11">
        <v>3</v>
      </c>
      <c r="S12" s="42" t="s">
        <v>335</v>
      </c>
      <c r="T12" s="15" t="s">
        <v>652</v>
      </c>
      <c r="U12" s="5" t="s">
        <v>647</v>
      </c>
      <c r="V12" s="5" t="s">
        <v>658</v>
      </c>
      <c r="W12" s="16" t="s">
        <v>131</v>
      </c>
      <c r="X12" s="11">
        <v>6</v>
      </c>
      <c r="BC12" s="42" t="s">
        <v>335</v>
      </c>
      <c r="BD12" s="15"/>
      <c r="BE12" s="16"/>
      <c r="BH12" s="66" t="s">
        <v>7</v>
      </c>
      <c r="BI12" s="11"/>
    </row>
    <row r="13" spans="2:61" ht="16.8" customHeight="1" x14ac:dyDescent="0.3">
      <c r="B13" s="36" t="s">
        <v>339</v>
      </c>
      <c r="C13" s="11">
        <v>4</v>
      </c>
      <c r="F13" s="36" t="s">
        <v>339</v>
      </c>
      <c r="G13" s="15" t="s">
        <v>646</v>
      </c>
      <c r="H13" s="5" t="s">
        <v>644</v>
      </c>
      <c r="I13" s="5" t="s">
        <v>640</v>
      </c>
      <c r="J13" s="5" t="s">
        <v>636</v>
      </c>
      <c r="K13" s="16" t="s">
        <v>131</v>
      </c>
      <c r="L13" s="11">
        <v>8</v>
      </c>
      <c r="O13" s="43" t="s">
        <v>437</v>
      </c>
      <c r="P13" s="11">
        <v>2</v>
      </c>
      <c r="S13" s="43" t="s">
        <v>437</v>
      </c>
      <c r="T13" s="15" t="s">
        <v>647</v>
      </c>
      <c r="U13" s="5" t="s">
        <v>648</v>
      </c>
      <c r="V13" s="5" t="s">
        <v>131</v>
      </c>
      <c r="W13" s="16" t="s">
        <v>131</v>
      </c>
      <c r="X13" s="11">
        <v>4</v>
      </c>
      <c r="BC13" s="43" t="s">
        <v>437</v>
      </c>
      <c r="BD13" s="15"/>
      <c r="BE13" s="16"/>
      <c r="BH13" s="76" t="s">
        <v>10</v>
      </c>
      <c r="BI13" s="11"/>
    </row>
    <row r="14" spans="2:61" ht="16.8" customHeight="1" thickBot="1" x14ac:dyDescent="0.35">
      <c r="B14" s="147" t="s">
        <v>605</v>
      </c>
      <c r="C14" s="12">
        <v>5</v>
      </c>
      <c r="F14" s="147" t="s">
        <v>605</v>
      </c>
      <c r="G14" s="17" t="s">
        <v>642</v>
      </c>
      <c r="H14" s="31" t="s">
        <v>644</v>
      </c>
      <c r="I14" s="31" t="s">
        <v>634</v>
      </c>
      <c r="J14" s="31" t="s">
        <v>639</v>
      </c>
      <c r="K14" s="18" t="s">
        <v>645</v>
      </c>
      <c r="L14" s="12">
        <v>9</v>
      </c>
      <c r="O14" s="160" t="s">
        <v>711</v>
      </c>
      <c r="P14" s="12">
        <v>2</v>
      </c>
      <c r="S14" s="160" t="s">
        <v>711</v>
      </c>
      <c r="T14" s="17" t="s">
        <v>647</v>
      </c>
      <c r="U14" s="31" t="s">
        <v>651</v>
      </c>
      <c r="V14" s="31" t="s">
        <v>131</v>
      </c>
      <c r="W14" s="18" t="s">
        <v>131</v>
      </c>
      <c r="X14" s="12">
        <v>5</v>
      </c>
      <c r="BC14" s="160" t="s">
        <v>711</v>
      </c>
      <c r="BD14" s="17"/>
      <c r="BE14" s="18"/>
      <c r="BH14" s="117" t="s">
        <v>9</v>
      </c>
      <c r="BI14" s="12"/>
    </row>
    <row r="15" spans="2:61" ht="16.8" customHeight="1" x14ac:dyDescent="0.3">
      <c r="B15" s="130"/>
      <c r="F15" s="130"/>
      <c r="L15" s="4" t="s">
        <v>580</v>
      </c>
    </row>
    <row r="16" spans="2:61" ht="16.8" customHeight="1" thickBot="1" x14ac:dyDescent="0.35"/>
    <row r="17" spans="55:61" ht="16.8" customHeight="1" thickBot="1" x14ac:dyDescent="0.35">
      <c r="BC17" s="180" t="s">
        <v>609</v>
      </c>
      <c r="BD17" s="181"/>
      <c r="BE17" s="182"/>
      <c r="BH17" s="7" t="s">
        <v>381</v>
      </c>
      <c r="BI17" s="7" t="s">
        <v>391</v>
      </c>
    </row>
    <row r="18" spans="55:61" ht="16.8" customHeight="1" thickBot="1" x14ac:dyDescent="0.35">
      <c r="BC18" s="171" t="s">
        <v>512</v>
      </c>
      <c r="BD18" s="172"/>
      <c r="BE18" s="173"/>
      <c r="BH18" s="114" t="s">
        <v>34</v>
      </c>
      <c r="BI18" s="10"/>
    </row>
    <row r="19" spans="55:61" ht="16.8" customHeight="1" thickBot="1" x14ac:dyDescent="0.35">
      <c r="BC19" s="7" t="s">
        <v>0</v>
      </c>
      <c r="BD19" s="32" t="s">
        <v>386</v>
      </c>
      <c r="BE19" s="34" t="s">
        <v>387</v>
      </c>
      <c r="BH19" s="72" t="s">
        <v>439</v>
      </c>
      <c r="BI19" s="11"/>
    </row>
    <row r="20" spans="55:61" ht="16.8" customHeight="1" x14ac:dyDescent="0.3">
      <c r="BC20" s="89" t="s">
        <v>308</v>
      </c>
      <c r="BD20" s="13"/>
      <c r="BE20" s="14"/>
      <c r="BH20" s="69" t="s">
        <v>5</v>
      </c>
      <c r="BI20" s="11"/>
    </row>
    <row r="21" spans="55:61" ht="16.8" customHeight="1" thickBot="1" x14ac:dyDescent="0.35">
      <c r="BC21" s="36" t="s">
        <v>339</v>
      </c>
      <c r="BD21" s="15"/>
      <c r="BE21" s="16"/>
      <c r="BH21" s="115" t="s">
        <v>6</v>
      </c>
      <c r="BI21" s="12"/>
    </row>
    <row r="22" spans="55:61" ht="16.8" customHeight="1" x14ac:dyDescent="0.3">
      <c r="BC22" s="37" t="s">
        <v>334</v>
      </c>
      <c r="BD22" s="15"/>
      <c r="BE22" s="16"/>
    </row>
    <row r="23" spans="55:61" ht="16.8" customHeight="1" x14ac:dyDescent="0.3">
      <c r="BC23" s="131" t="s">
        <v>605</v>
      </c>
      <c r="BD23" s="15"/>
      <c r="BE23" s="16"/>
    </row>
    <row r="24" spans="55:61" ht="16.8" customHeight="1" thickBot="1" x14ac:dyDescent="0.35">
      <c r="BC24" s="139" t="s">
        <v>607</v>
      </c>
      <c r="BD24" s="15"/>
      <c r="BE24" s="16"/>
    </row>
    <row r="25" spans="55:61" ht="16.8" customHeight="1" thickBot="1" x14ac:dyDescent="0.35">
      <c r="BC25" s="40" t="s">
        <v>325</v>
      </c>
      <c r="BD25" s="15"/>
      <c r="BE25" s="16"/>
      <c r="BH25" s="7" t="s">
        <v>381</v>
      </c>
      <c r="BI25" s="7" t="s">
        <v>391</v>
      </c>
    </row>
    <row r="26" spans="55:61" ht="16.8" customHeight="1" x14ac:dyDescent="0.3">
      <c r="BC26" s="41" t="s">
        <v>554</v>
      </c>
      <c r="BD26" s="15"/>
      <c r="BE26" s="16"/>
      <c r="BH26" s="116" t="s">
        <v>8</v>
      </c>
      <c r="BI26" s="10"/>
    </row>
    <row r="27" spans="55:61" ht="16.8" customHeight="1" x14ac:dyDescent="0.3">
      <c r="BC27" s="42" t="s">
        <v>335</v>
      </c>
      <c r="BD27" s="15"/>
      <c r="BE27" s="16"/>
      <c r="BH27" s="66" t="s">
        <v>7</v>
      </c>
      <c r="BI27" s="11"/>
    </row>
    <row r="28" spans="55:61" ht="16.8" customHeight="1" x14ac:dyDescent="0.3">
      <c r="BC28" s="43" t="s">
        <v>437</v>
      </c>
      <c r="BD28" s="15"/>
      <c r="BE28" s="16"/>
      <c r="BH28" s="76" t="s">
        <v>10</v>
      </c>
      <c r="BI28" s="11"/>
    </row>
    <row r="29" spans="55:61" ht="16.8" customHeight="1" thickBot="1" x14ac:dyDescent="0.35">
      <c r="BC29" s="160" t="s">
        <v>711</v>
      </c>
      <c r="BD29" s="17"/>
      <c r="BE29" s="18"/>
      <c r="BH29" s="117" t="s">
        <v>9</v>
      </c>
      <c r="BI29" s="12"/>
    </row>
  </sheetData>
  <mergeCells count="16">
    <mergeCell ref="BC17:BE17"/>
    <mergeCell ref="BC18:BE18"/>
    <mergeCell ref="B2:C2"/>
    <mergeCell ref="AA2:AB2"/>
    <mergeCell ref="AK2:AL2"/>
    <mergeCell ref="AU2:AV2"/>
    <mergeCell ref="BC2:BE2"/>
    <mergeCell ref="B3:C3"/>
    <mergeCell ref="AA3:AB3"/>
    <mergeCell ref="AK3:AL3"/>
    <mergeCell ref="AU3:AV3"/>
    <mergeCell ref="BC3:BE3"/>
    <mergeCell ref="O2:P2"/>
    <mergeCell ref="O3:P3"/>
    <mergeCell ref="S3:X3"/>
    <mergeCell ref="S2:X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FB-EC62-43A7-B10E-4A3700643114}">
  <sheetPr codeName="Sheet7"/>
  <dimension ref="B1:GL47"/>
  <sheetViews>
    <sheetView zoomScale="80" zoomScaleNormal="80" workbookViewId="0">
      <selection activeCell="BC17" sqref="BC17"/>
    </sheetView>
  </sheetViews>
  <sheetFormatPr defaultColWidth="8.77734375" defaultRowHeight="16.8" customHeight="1" x14ac:dyDescent="0.3"/>
  <cols>
    <col min="1" max="1" width="3.109375" style="4" customWidth="1"/>
    <col min="2" max="2" width="6.6640625" style="4" customWidth="1"/>
    <col min="3" max="3" width="24.44140625" style="4" customWidth="1"/>
    <col min="4" max="4" width="8.88671875" style="4" customWidth="1"/>
    <col min="5" max="5" width="27.77734375" style="4" customWidth="1"/>
    <col min="6" max="8" width="12.21875" style="4" customWidth="1"/>
    <col min="9" max="9" width="7.77734375" style="4" customWidth="1"/>
    <col min="10" max="11" width="3.109375" style="4" customWidth="1"/>
    <col min="12" max="12" width="8.88671875" style="4" customWidth="1"/>
    <col min="13" max="51" width="6.109375" style="4" customWidth="1"/>
    <col min="52" max="52" width="6.6640625" style="4" customWidth="1"/>
    <col min="53" max="54" width="3.109375" style="4" customWidth="1"/>
    <col min="55" max="55" width="6.6640625" style="4" customWidth="1"/>
    <col min="56" max="56" width="27.77734375" style="4" customWidth="1"/>
    <col min="57" max="57" width="7.77734375" style="4" customWidth="1"/>
    <col min="58" max="59" width="3.109375" style="4" customWidth="1"/>
    <col min="60" max="62" width="5.6640625" style="4" customWidth="1"/>
    <col min="63" max="64" width="3.109375" style="4" customWidth="1"/>
    <col min="65" max="65" width="8.88671875" style="4" customWidth="1"/>
    <col min="66" max="104" width="6.109375" style="4" customWidth="1"/>
    <col min="105" max="105" width="6.6640625" style="4" customWidth="1"/>
    <col min="106" max="107" width="3.109375" style="4" customWidth="1"/>
    <col min="108" max="108" width="27.77734375" style="4" customWidth="1"/>
    <col min="109" max="147" width="5.5546875" style="4" customWidth="1"/>
    <col min="148" max="148" width="6.6640625" style="4" customWidth="1"/>
    <col min="149" max="150" width="3.109375" style="4" customWidth="1"/>
    <col min="151" max="151" width="21.109375" style="4" customWidth="1"/>
    <col min="152" max="190" width="6.109375" style="4" customWidth="1"/>
    <col min="191" max="191" width="6.6640625" style="4" customWidth="1"/>
    <col min="192" max="193" width="3.109375" style="4" customWidth="1"/>
    <col min="194" max="194" width="7.77734375" style="4" customWidth="1"/>
    <col min="195" max="196" width="3.109375" style="4" customWidth="1"/>
    <col min="197" max="16384" width="8.77734375" style="4"/>
  </cols>
  <sheetData>
    <row r="1" spans="2:194" ht="16.8" customHeight="1" thickBot="1" x14ac:dyDescent="0.35"/>
    <row r="2" spans="2:194" ht="16.8" customHeight="1" thickBot="1" x14ac:dyDescent="0.35">
      <c r="B2" s="174" t="s">
        <v>609</v>
      </c>
      <c r="C2" s="175"/>
      <c r="D2" s="175"/>
      <c r="E2" s="175"/>
      <c r="F2" s="175"/>
      <c r="G2" s="175"/>
      <c r="H2" s="175"/>
      <c r="I2" s="176"/>
      <c r="BC2" s="174" t="s">
        <v>609</v>
      </c>
      <c r="BD2" s="175"/>
      <c r="BE2" s="176"/>
    </row>
    <row r="3" spans="2:194" ht="16.8" customHeight="1" thickBot="1" x14ac:dyDescent="0.35">
      <c r="B3" s="171" t="s">
        <v>382</v>
      </c>
      <c r="C3" s="172"/>
      <c r="D3" s="172"/>
      <c r="E3" s="172"/>
      <c r="F3" s="172"/>
      <c r="G3" s="172"/>
      <c r="H3" s="172"/>
      <c r="I3" s="173"/>
      <c r="L3" s="226" t="s">
        <v>44</v>
      </c>
      <c r="M3" s="177" t="s">
        <v>358</v>
      </c>
      <c r="N3" s="229"/>
      <c r="O3" s="178"/>
      <c r="P3" s="177" t="s">
        <v>359</v>
      </c>
      <c r="Q3" s="229"/>
      <c r="R3" s="178"/>
      <c r="S3" s="177" t="s">
        <v>360</v>
      </c>
      <c r="T3" s="229"/>
      <c r="U3" s="178"/>
      <c r="V3" s="177" t="s">
        <v>361</v>
      </c>
      <c r="W3" s="229"/>
      <c r="X3" s="178"/>
      <c r="Y3" s="177" t="s">
        <v>362</v>
      </c>
      <c r="Z3" s="229"/>
      <c r="AA3" s="178"/>
      <c r="AB3" s="177" t="s">
        <v>363</v>
      </c>
      <c r="AC3" s="229"/>
      <c r="AD3" s="178"/>
      <c r="AE3" s="177" t="s">
        <v>364</v>
      </c>
      <c r="AF3" s="229"/>
      <c r="AG3" s="178"/>
      <c r="AH3" s="177" t="s">
        <v>365</v>
      </c>
      <c r="AI3" s="229"/>
      <c r="AJ3" s="178"/>
      <c r="AK3" s="177" t="s">
        <v>366</v>
      </c>
      <c r="AL3" s="229"/>
      <c r="AM3" s="178"/>
      <c r="AN3" s="177" t="s">
        <v>367</v>
      </c>
      <c r="AO3" s="229"/>
      <c r="AP3" s="178"/>
      <c r="AQ3" s="177" t="s">
        <v>425</v>
      </c>
      <c r="AR3" s="229"/>
      <c r="AS3" s="178"/>
      <c r="AT3" s="177" t="s">
        <v>426</v>
      </c>
      <c r="AU3" s="229"/>
      <c r="AV3" s="178"/>
      <c r="AW3" s="177" t="s">
        <v>591</v>
      </c>
      <c r="AX3" s="229"/>
      <c r="AY3" s="178"/>
      <c r="AZ3" s="230" t="s">
        <v>412</v>
      </c>
      <c r="BC3" s="171" t="s">
        <v>383</v>
      </c>
      <c r="BD3" s="172"/>
      <c r="BE3" s="173"/>
      <c r="BM3" s="226" t="s">
        <v>44</v>
      </c>
      <c r="BN3" s="177" t="s">
        <v>358</v>
      </c>
      <c r="BO3" s="229"/>
      <c r="BP3" s="178"/>
      <c r="BQ3" s="177" t="s">
        <v>359</v>
      </c>
      <c r="BR3" s="229"/>
      <c r="BS3" s="178"/>
      <c r="BT3" s="177" t="s">
        <v>360</v>
      </c>
      <c r="BU3" s="229"/>
      <c r="BV3" s="178"/>
      <c r="BW3" s="177" t="s">
        <v>361</v>
      </c>
      <c r="BX3" s="229"/>
      <c r="BY3" s="178"/>
      <c r="BZ3" s="177" t="s">
        <v>362</v>
      </c>
      <c r="CA3" s="229"/>
      <c r="CB3" s="178"/>
      <c r="CC3" s="177" t="s">
        <v>363</v>
      </c>
      <c r="CD3" s="229"/>
      <c r="CE3" s="178"/>
      <c r="CF3" s="177" t="s">
        <v>364</v>
      </c>
      <c r="CG3" s="229"/>
      <c r="CH3" s="178"/>
      <c r="CI3" s="177" t="s">
        <v>365</v>
      </c>
      <c r="CJ3" s="229"/>
      <c r="CK3" s="178"/>
      <c r="CL3" s="177" t="s">
        <v>366</v>
      </c>
      <c r="CM3" s="229"/>
      <c r="CN3" s="178"/>
      <c r="CO3" s="177" t="s">
        <v>367</v>
      </c>
      <c r="CP3" s="229"/>
      <c r="CQ3" s="178"/>
      <c r="CR3" s="177" t="s">
        <v>425</v>
      </c>
      <c r="CS3" s="229"/>
      <c r="CT3" s="178"/>
      <c r="CU3" s="177" t="s">
        <v>426</v>
      </c>
      <c r="CV3" s="229"/>
      <c r="CW3" s="178"/>
      <c r="CX3" s="177" t="s">
        <v>591</v>
      </c>
      <c r="CY3" s="229"/>
      <c r="CZ3" s="178"/>
      <c r="DA3" s="230" t="s">
        <v>412</v>
      </c>
      <c r="DD3" s="226" t="s">
        <v>1</v>
      </c>
      <c r="DE3" s="177" t="s">
        <v>358</v>
      </c>
      <c r="DF3" s="229"/>
      <c r="DG3" s="178"/>
      <c r="DH3" s="177" t="s">
        <v>359</v>
      </c>
      <c r="DI3" s="229"/>
      <c r="DJ3" s="178"/>
      <c r="DK3" s="177" t="s">
        <v>360</v>
      </c>
      <c r="DL3" s="229"/>
      <c r="DM3" s="178"/>
      <c r="DN3" s="177" t="s">
        <v>361</v>
      </c>
      <c r="DO3" s="229"/>
      <c r="DP3" s="178"/>
      <c r="DQ3" s="177" t="s">
        <v>362</v>
      </c>
      <c r="DR3" s="229"/>
      <c r="DS3" s="178"/>
      <c r="DT3" s="177" t="s">
        <v>363</v>
      </c>
      <c r="DU3" s="229"/>
      <c r="DV3" s="178"/>
      <c r="DW3" s="177" t="s">
        <v>364</v>
      </c>
      <c r="DX3" s="229"/>
      <c r="DY3" s="178"/>
      <c r="DZ3" s="177" t="s">
        <v>365</v>
      </c>
      <c r="EA3" s="229"/>
      <c r="EB3" s="178"/>
      <c r="EC3" s="177" t="s">
        <v>366</v>
      </c>
      <c r="ED3" s="229"/>
      <c r="EE3" s="178"/>
      <c r="EF3" s="177" t="s">
        <v>367</v>
      </c>
      <c r="EG3" s="229"/>
      <c r="EH3" s="178"/>
      <c r="EI3" s="177" t="s">
        <v>425</v>
      </c>
      <c r="EJ3" s="229"/>
      <c r="EK3" s="178"/>
      <c r="EL3" s="177" t="s">
        <v>426</v>
      </c>
      <c r="EM3" s="229"/>
      <c r="EN3" s="178"/>
      <c r="EO3" s="177" t="s">
        <v>591</v>
      </c>
      <c r="EP3" s="229"/>
      <c r="EQ3" s="178"/>
      <c r="ER3" s="230" t="s">
        <v>412</v>
      </c>
      <c r="EU3" s="245" t="s">
        <v>1</v>
      </c>
      <c r="EV3" s="177" t="s">
        <v>358</v>
      </c>
      <c r="EW3" s="229"/>
      <c r="EX3" s="178"/>
      <c r="EY3" s="177" t="s">
        <v>359</v>
      </c>
      <c r="EZ3" s="229"/>
      <c r="FA3" s="178"/>
      <c r="FB3" s="177" t="s">
        <v>360</v>
      </c>
      <c r="FC3" s="229"/>
      <c r="FD3" s="178"/>
      <c r="FE3" s="177" t="s">
        <v>361</v>
      </c>
      <c r="FF3" s="229"/>
      <c r="FG3" s="178"/>
      <c r="FH3" s="177" t="s">
        <v>362</v>
      </c>
      <c r="FI3" s="229"/>
      <c r="FJ3" s="178"/>
      <c r="FK3" s="177" t="s">
        <v>363</v>
      </c>
      <c r="FL3" s="229"/>
      <c r="FM3" s="178"/>
      <c r="FN3" s="177" t="s">
        <v>364</v>
      </c>
      <c r="FO3" s="229"/>
      <c r="FP3" s="178"/>
      <c r="FQ3" s="223" t="s">
        <v>365</v>
      </c>
      <c r="FR3" s="229"/>
      <c r="FS3" s="222"/>
      <c r="FT3" s="177" t="s">
        <v>366</v>
      </c>
      <c r="FU3" s="229"/>
      <c r="FV3" s="178"/>
      <c r="FW3" s="177" t="s">
        <v>367</v>
      </c>
      <c r="FX3" s="229"/>
      <c r="FY3" s="178"/>
      <c r="FZ3" s="177" t="s">
        <v>425</v>
      </c>
      <c r="GA3" s="229"/>
      <c r="GB3" s="178"/>
      <c r="GC3" s="177" t="s">
        <v>426</v>
      </c>
      <c r="GD3" s="229"/>
      <c r="GE3" s="178"/>
      <c r="GF3" s="177" t="s">
        <v>591</v>
      </c>
      <c r="GG3" s="229"/>
      <c r="GH3" s="178"/>
      <c r="GI3" s="230" t="s">
        <v>412</v>
      </c>
      <c r="GL3" s="202" t="s">
        <v>45</v>
      </c>
    </row>
    <row r="4" spans="2:194" ht="16.8" customHeight="1" thickBot="1" x14ac:dyDescent="0.35">
      <c r="B4" s="7" t="s">
        <v>15</v>
      </c>
      <c r="C4" s="7" t="s">
        <v>43</v>
      </c>
      <c r="D4" s="7" t="s">
        <v>44</v>
      </c>
      <c r="E4" s="7" t="s">
        <v>0</v>
      </c>
      <c r="F4" s="7" t="s">
        <v>422</v>
      </c>
      <c r="G4" s="7" t="s">
        <v>2</v>
      </c>
      <c r="H4" s="7" t="s">
        <v>3</v>
      </c>
      <c r="I4" s="7" t="s">
        <v>45</v>
      </c>
      <c r="L4" s="227"/>
      <c r="M4" s="32" t="s">
        <v>16</v>
      </c>
      <c r="N4" s="33" t="s">
        <v>17</v>
      </c>
      <c r="O4" s="34" t="s">
        <v>18</v>
      </c>
      <c r="P4" s="32" t="s">
        <v>16</v>
      </c>
      <c r="Q4" s="33" t="s">
        <v>17</v>
      </c>
      <c r="R4" s="34" t="s">
        <v>18</v>
      </c>
      <c r="S4" s="32" t="s">
        <v>16</v>
      </c>
      <c r="T4" s="33" t="s">
        <v>17</v>
      </c>
      <c r="U4" s="34" t="s">
        <v>18</v>
      </c>
      <c r="V4" s="32" t="s">
        <v>16</v>
      </c>
      <c r="W4" s="33" t="s">
        <v>17</v>
      </c>
      <c r="X4" s="34" t="s">
        <v>18</v>
      </c>
      <c r="Y4" s="32" t="s">
        <v>16</v>
      </c>
      <c r="Z4" s="33" t="s">
        <v>17</v>
      </c>
      <c r="AA4" s="34" t="s">
        <v>18</v>
      </c>
      <c r="AB4" s="32" t="s">
        <v>16</v>
      </c>
      <c r="AC4" s="33" t="s">
        <v>17</v>
      </c>
      <c r="AD4" s="34" t="s">
        <v>18</v>
      </c>
      <c r="AE4" s="32" t="s">
        <v>16</v>
      </c>
      <c r="AF4" s="33" t="s">
        <v>17</v>
      </c>
      <c r="AG4" s="34" t="s">
        <v>18</v>
      </c>
      <c r="AH4" s="32" t="s">
        <v>16</v>
      </c>
      <c r="AI4" s="33" t="s">
        <v>17</v>
      </c>
      <c r="AJ4" s="34" t="s">
        <v>18</v>
      </c>
      <c r="AK4" s="32" t="s">
        <v>16</v>
      </c>
      <c r="AL4" s="33" t="s">
        <v>17</v>
      </c>
      <c r="AM4" s="34" t="s">
        <v>18</v>
      </c>
      <c r="AN4" s="32" t="s">
        <v>16</v>
      </c>
      <c r="AO4" s="33" t="s">
        <v>17</v>
      </c>
      <c r="AP4" s="34" t="s">
        <v>18</v>
      </c>
      <c r="AQ4" s="32" t="s">
        <v>16</v>
      </c>
      <c r="AR4" s="33" t="s">
        <v>17</v>
      </c>
      <c r="AS4" s="34" t="s">
        <v>18</v>
      </c>
      <c r="AT4" s="32" t="s">
        <v>16</v>
      </c>
      <c r="AU4" s="33" t="s">
        <v>17</v>
      </c>
      <c r="AV4" s="34" t="s">
        <v>18</v>
      </c>
      <c r="AW4" s="32" t="s">
        <v>16</v>
      </c>
      <c r="AX4" s="33" t="s">
        <v>17</v>
      </c>
      <c r="AY4" s="34" t="s">
        <v>18</v>
      </c>
      <c r="AZ4" s="227"/>
      <c r="BC4" s="7" t="s">
        <v>15</v>
      </c>
      <c r="BD4" s="62" t="s">
        <v>0</v>
      </c>
      <c r="BE4" s="7" t="s">
        <v>45</v>
      </c>
      <c r="BH4" s="5" t="s">
        <v>423</v>
      </c>
      <c r="BI4" s="5" t="s">
        <v>124</v>
      </c>
      <c r="BJ4" s="5" t="s">
        <v>125</v>
      </c>
      <c r="BM4" s="227"/>
      <c r="BN4" s="32" t="s">
        <v>16</v>
      </c>
      <c r="BO4" s="33" t="s">
        <v>17</v>
      </c>
      <c r="BP4" s="34" t="s">
        <v>18</v>
      </c>
      <c r="BQ4" s="32" t="s">
        <v>16</v>
      </c>
      <c r="BR4" s="33" t="s">
        <v>17</v>
      </c>
      <c r="BS4" s="34" t="s">
        <v>18</v>
      </c>
      <c r="BT4" s="32" t="s">
        <v>16</v>
      </c>
      <c r="BU4" s="33" t="s">
        <v>17</v>
      </c>
      <c r="BV4" s="34" t="s">
        <v>18</v>
      </c>
      <c r="BW4" s="32" t="s">
        <v>16</v>
      </c>
      <c r="BX4" s="33" t="s">
        <v>17</v>
      </c>
      <c r="BY4" s="34" t="s">
        <v>18</v>
      </c>
      <c r="BZ4" s="32" t="s">
        <v>16</v>
      </c>
      <c r="CA4" s="33" t="s">
        <v>17</v>
      </c>
      <c r="CB4" s="34" t="s">
        <v>18</v>
      </c>
      <c r="CC4" s="32" t="s">
        <v>16</v>
      </c>
      <c r="CD4" s="33" t="s">
        <v>17</v>
      </c>
      <c r="CE4" s="34" t="s">
        <v>18</v>
      </c>
      <c r="CF4" s="32" t="s">
        <v>16</v>
      </c>
      <c r="CG4" s="33" t="s">
        <v>17</v>
      </c>
      <c r="CH4" s="34" t="s">
        <v>18</v>
      </c>
      <c r="CI4" s="32" t="s">
        <v>16</v>
      </c>
      <c r="CJ4" s="33" t="s">
        <v>17</v>
      </c>
      <c r="CK4" s="34" t="s">
        <v>18</v>
      </c>
      <c r="CL4" s="32" t="s">
        <v>16</v>
      </c>
      <c r="CM4" s="33" t="s">
        <v>17</v>
      </c>
      <c r="CN4" s="34" t="s">
        <v>18</v>
      </c>
      <c r="CO4" s="32" t="s">
        <v>16</v>
      </c>
      <c r="CP4" s="33" t="s">
        <v>17</v>
      </c>
      <c r="CQ4" s="34" t="s">
        <v>18</v>
      </c>
      <c r="CR4" s="32" t="s">
        <v>16</v>
      </c>
      <c r="CS4" s="33" t="s">
        <v>17</v>
      </c>
      <c r="CT4" s="34" t="s">
        <v>18</v>
      </c>
      <c r="CU4" s="32" t="s">
        <v>16</v>
      </c>
      <c r="CV4" s="33" t="s">
        <v>17</v>
      </c>
      <c r="CW4" s="34" t="s">
        <v>18</v>
      </c>
      <c r="CX4" s="32" t="s">
        <v>16</v>
      </c>
      <c r="CY4" s="33" t="s">
        <v>17</v>
      </c>
      <c r="CZ4" s="34" t="s">
        <v>18</v>
      </c>
      <c r="DA4" s="227"/>
      <c r="DD4" s="227"/>
      <c r="DE4" s="32" t="s">
        <v>16</v>
      </c>
      <c r="DF4" s="33" t="s">
        <v>17</v>
      </c>
      <c r="DG4" s="34" t="s">
        <v>18</v>
      </c>
      <c r="DH4" s="32" t="s">
        <v>16</v>
      </c>
      <c r="DI4" s="33" t="s">
        <v>17</v>
      </c>
      <c r="DJ4" s="34" t="s">
        <v>18</v>
      </c>
      <c r="DK4" s="32" t="s">
        <v>16</v>
      </c>
      <c r="DL4" s="33" t="s">
        <v>17</v>
      </c>
      <c r="DM4" s="34" t="s">
        <v>18</v>
      </c>
      <c r="DN4" s="32" t="s">
        <v>16</v>
      </c>
      <c r="DO4" s="33" t="s">
        <v>17</v>
      </c>
      <c r="DP4" s="34" t="s">
        <v>18</v>
      </c>
      <c r="DQ4" s="32" t="s">
        <v>16</v>
      </c>
      <c r="DR4" s="33" t="s">
        <v>17</v>
      </c>
      <c r="DS4" s="34" t="s">
        <v>18</v>
      </c>
      <c r="DT4" s="32" t="s">
        <v>16</v>
      </c>
      <c r="DU4" s="33" t="s">
        <v>17</v>
      </c>
      <c r="DV4" s="34" t="s">
        <v>18</v>
      </c>
      <c r="DW4" s="32" t="s">
        <v>16</v>
      </c>
      <c r="DX4" s="33" t="s">
        <v>17</v>
      </c>
      <c r="DY4" s="34" t="s">
        <v>18</v>
      </c>
      <c r="DZ4" s="32" t="s">
        <v>16</v>
      </c>
      <c r="EA4" s="33" t="s">
        <v>17</v>
      </c>
      <c r="EB4" s="34" t="s">
        <v>18</v>
      </c>
      <c r="EC4" s="32" t="s">
        <v>16</v>
      </c>
      <c r="ED4" s="33" t="s">
        <v>17</v>
      </c>
      <c r="EE4" s="34" t="s">
        <v>18</v>
      </c>
      <c r="EF4" s="32" t="s">
        <v>16</v>
      </c>
      <c r="EG4" s="33" t="s">
        <v>17</v>
      </c>
      <c r="EH4" s="34" t="s">
        <v>18</v>
      </c>
      <c r="EI4" s="32" t="s">
        <v>16</v>
      </c>
      <c r="EJ4" s="33" t="s">
        <v>17</v>
      </c>
      <c r="EK4" s="34" t="s">
        <v>18</v>
      </c>
      <c r="EL4" s="32" t="s">
        <v>16</v>
      </c>
      <c r="EM4" s="33" t="s">
        <v>17</v>
      </c>
      <c r="EN4" s="34" t="s">
        <v>18</v>
      </c>
      <c r="EO4" s="32" t="s">
        <v>16</v>
      </c>
      <c r="EP4" s="33" t="s">
        <v>17</v>
      </c>
      <c r="EQ4" s="34" t="s">
        <v>18</v>
      </c>
      <c r="ER4" s="227"/>
      <c r="EU4" s="246"/>
      <c r="EV4" s="79" t="s">
        <v>16</v>
      </c>
      <c r="EW4" s="80" t="s">
        <v>17</v>
      </c>
      <c r="EX4" s="81" t="s">
        <v>18</v>
      </c>
      <c r="EY4" s="79" t="s">
        <v>16</v>
      </c>
      <c r="EZ4" s="80" t="s">
        <v>17</v>
      </c>
      <c r="FA4" s="81" t="s">
        <v>18</v>
      </c>
      <c r="FB4" s="79" t="s">
        <v>16</v>
      </c>
      <c r="FC4" s="80" t="s">
        <v>17</v>
      </c>
      <c r="FD4" s="81" t="s">
        <v>18</v>
      </c>
      <c r="FE4" s="79" t="s">
        <v>16</v>
      </c>
      <c r="FF4" s="80" t="s">
        <v>17</v>
      </c>
      <c r="FG4" s="81" t="s">
        <v>18</v>
      </c>
      <c r="FH4" s="79" t="s">
        <v>16</v>
      </c>
      <c r="FI4" s="80" t="s">
        <v>17</v>
      </c>
      <c r="FJ4" s="81" t="s">
        <v>18</v>
      </c>
      <c r="FK4" s="79" t="s">
        <v>16</v>
      </c>
      <c r="FL4" s="80" t="s">
        <v>17</v>
      </c>
      <c r="FM4" s="81" t="s">
        <v>18</v>
      </c>
      <c r="FN4" s="79" t="s">
        <v>16</v>
      </c>
      <c r="FO4" s="80" t="s">
        <v>17</v>
      </c>
      <c r="FP4" s="81" t="s">
        <v>18</v>
      </c>
      <c r="FQ4" s="82" t="s">
        <v>16</v>
      </c>
      <c r="FR4" s="80" t="s">
        <v>17</v>
      </c>
      <c r="FS4" s="83" t="s">
        <v>18</v>
      </c>
      <c r="FT4" s="79" t="s">
        <v>16</v>
      </c>
      <c r="FU4" s="80" t="s">
        <v>17</v>
      </c>
      <c r="FV4" s="81" t="s">
        <v>18</v>
      </c>
      <c r="FW4" s="79" t="s">
        <v>16</v>
      </c>
      <c r="FX4" s="80" t="s">
        <v>17</v>
      </c>
      <c r="FY4" s="81" t="s">
        <v>18</v>
      </c>
      <c r="FZ4" s="79" t="s">
        <v>16</v>
      </c>
      <c r="GA4" s="80" t="s">
        <v>17</v>
      </c>
      <c r="GB4" s="81" t="s">
        <v>18</v>
      </c>
      <c r="GC4" s="79" t="s">
        <v>16</v>
      </c>
      <c r="GD4" s="80" t="s">
        <v>17</v>
      </c>
      <c r="GE4" s="81" t="s">
        <v>18</v>
      </c>
      <c r="GF4" s="79" t="s">
        <v>16</v>
      </c>
      <c r="GG4" s="80" t="s">
        <v>17</v>
      </c>
      <c r="GH4" s="81" t="s">
        <v>18</v>
      </c>
      <c r="GI4" s="231"/>
      <c r="GL4" s="192"/>
    </row>
    <row r="5" spans="2:194" ht="16.8" customHeight="1" thickBot="1" x14ac:dyDescent="0.35">
      <c r="B5" s="136" t="s">
        <v>19</v>
      </c>
      <c r="C5" s="42" t="s">
        <v>184</v>
      </c>
      <c r="D5" s="42" t="s">
        <v>59</v>
      </c>
      <c r="E5" s="42" t="s">
        <v>335</v>
      </c>
      <c r="F5" s="70" t="s">
        <v>34</v>
      </c>
      <c r="G5" s="75" t="s">
        <v>8</v>
      </c>
      <c r="H5" s="72" t="s">
        <v>12</v>
      </c>
      <c r="I5" s="48">
        <f>SUM(BN5:DA5)</f>
        <v>0</v>
      </c>
      <c r="L5" s="42" t="s">
        <v>59</v>
      </c>
      <c r="M5" s="46"/>
      <c r="N5" s="6"/>
      <c r="O5" s="47"/>
      <c r="P5" s="46"/>
      <c r="Q5" s="6"/>
      <c r="R5" s="47"/>
      <c r="S5" s="46"/>
      <c r="T5" s="6"/>
      <c r="U5" s="47"/>
      <c r="V5" s="46"/>
      <c r="W5" s="6"/>
      <c r="X5" s="47"/>
      <c r="Y5" s="46"/>
      <c r="Z5" s="6"/>
      <c r="AA5" s="47"/>
      <c r="AB5" s="46"/>
      <c r="AC5" s="6"/>
      <c r="AD5" s="47"/>
      <c r="AE5" s="46"/>
      <c r="AF5" s="6"/>
      <c r="AG5" s="47"/>
      <c r="AH5" s="46"/>
      <c r="AI5" s="6"/>
      <c r="AJ5" s="47"/>
      <c r="AK5" s="46"/>
      <c r="AL5" s="6"/>
      <c r="AM5" s="47"/>
      <c r="AN5" s="46"/>
      <c r="AO5" s="6"/>
      <c r="AP5" s="47"/>
      <c r="AQ5" s="46"/>
      <c r="AR5" s="6"/>
      <c r="AS5" s="47"/>
      <c r="AT5" s="46"/>
      <c r="AU5" s="6"/>
      <c r="AV5" s="47"/>
      <c r="AW5" s="46"/>
      <c r="AX5" s="6"/>
      <c r="AY5" s="47"/>
      <c r="AZ5" s="48"/>
      <c r="BC5" s="136" t="s">
        <v>19</v>
      </c>
      <c r="BD5" s="42" t="s">
        <v>335</v>
      </c>
      <c r="BE5" s="48">
        <f>SUM(DE5:ER5)</f>
        <v>0</v>
      </c>
      <c r="BH5" s="70" t="s">
        <v>594</v>
      </c>
      <c r="BI5" s="75" t="s">
        <v>597</v>
      </c>
      <c r="BJ5" s="72" t="s">
        <v>598</v>
      </c>
      <c r="BM5" s="42" t="s">
        <v>59</v>
      </c>
      <c r="BN5" s="46">
        <f t="shared" ref="BN5" si="0">IF(M5 &lt;&gt; "", VLOOKUP(CONCATENATE("P", M5), pointsSystem, 2, FALSE), 0)</f>
        <v>0</v>
      </c>
      <c r="BO5" s="6">
        <f t="shared" ref="BO5" si="1">IF(N5 &lt;&gt; "", VLOOKUP(CONCATENATE("P", N5), pointsSystem, 3, FALSE), 0)</f>
        <v>0</v>
      </c>
      <c r="BP5" s="47">
        <f t="shared" ref="BP5" si="2">IF(O5 &lt;&gt; "", VLOOKUP(CONCATENATE("P", O5), pointsSystem, 4, FALSE), 0)</f>
        <v>0</v>
      </c>
      <c r="BQ5" s="46">
        <f t="shared" ref="BQ5" si="3">IF(P5 &lt;&gt; "", VLOOKUP(CONCATENATE("P", P5), pointsSystem, 2, FALSE), 0)</f>
        <v>0</v>
      </c>
      <c r="BR5" s="6">
        <f t="shared" ref="BR5" si="4">IF(Q5 &lt;&gt; "", VLOOKUP(CONCATENATE("P", Q5), pointsSystem, 3, FALSE), 0)</f>
        <v>0</v>
      </c>
      <c r="BS5" s="47">
        <f t="shared" ref="BS5" si="5">IF(R5 &lt;&gt; "", VLOOKUP(CONCATENATE("P", R5), pointsSystem, 4, FALSE), 0)</f>
        <v>0</v>
      </c>
      <c r="BT5" s="46">
        <f t="shared" ref="BT5" si="6">IF(S5 &lt;&gt; "", VLOOKUP(CONCATENATE("P", S5), pointsSystem, 2, FALSE), 0)</f>
        <v>0</v>
      </c>
      <c r="BU5" s="6">
        <f t="shared" ref="BU5" si="7">IF(T5 &lt;&gt; "", VLOOKUP(CONCATENATE("P", T5), pointsSystem, 3, FALSE), 0)</f>
        <v>0</v>
      </c>
      <c r="BV5" s="47">
        <f t="shared" ref="BV5" si="8">IF(U5 &lt;&gt; "", VLOOKUP(CONCATENATE("P", U5), pointsSystem, 4, FALSE), 0)</f>
        <v>0</v>
      </c>
      <c r="BW5" s="46">
        <f t="shared" ref="BW5" si="9">IF(V5 &lt;&gt; "", VLOOKUP(CONCATENATE("P", V5), pointsSystem, 2, FALSE), 0)</f>
        <v>0</v>
      </c>
      <c r="BX5" s="6">
        <f t="shared" ref="BX5" si="10">IF(W5 &lt;&gt; "", VLOOKUP(CONCATENATE("P", W5), pointsSystem, 3, FALSE), 0)</f>
        <v>0</v>
      </c>
      <c r="BY5" s="47">
        <f t="shared" ref="BY5" si="11">IF(X5 &lt;&gt; "", VLOOKUP(CONCATENATE("P", X5), pointsSystem, 4, FALSE), 0)</f>
        <v>0</v>
      </c>
      <c r="BZ5" s="46">
        <f t="shared" ref="BZ5" si="12">IF(Y5 &lt;&gt; "", VLOOKUP(CONCATENATE("P", Y5), pointsSystem, 2, FALSE), 0)</f>
        <v>0</v>
      </c>
      <c r="CA5" s="6">
        <f t="shared" ref="CA5" si="13">IF(Z5 &lt;&gt; "", VLOOKUP(CONCATENATE("P", Z5), pointsSystem, 3, FALSE), 0)</f>
        <v>0</v>
      </c>
      <c r="CB5" s="47">
        <f t="shared" ref="CB5" si="14">IF(AA5 &lt;&gt; "", VLOOKUP(CONCATENATE("P", AA5), pointsSystem, 4, FALSE), 0)</f>
        <v>0</v>
      </c>
      <c r="CC5" s="46">
        <f t="shared" ref="CC5" si="15">IF(AB5 &lt;&gt; "", VLOOKUP(CONCATENATE("P", AB5), pointsSystem, 2, FALSE), 0)</f>
        <v>0</v>
      </c>
      <c r="CD5" s="6">
        <f t="shared" ref="CD5" si="16">IF(AC5 &lt;&gt; "", VLOOKUP(CONCATENATE("P", AC5), pointsSystem, 3, FALSE), 0)</f>
        <v>0</v>
      </c>
      <c r="CE5" s="47">
        <f t="shared" ref="CE5" si="17">IF(AD5 &lt;&gt; "", VLOOKUP(CONCATENATE("P", AD5), pointsSystem, 4, FALSE), 0)</f>
        <v>0</v>
      </c>
      <c r="CF5" s="46">
        <f t="shared" ref="CF5" si="18">IF(AE5 &lt;&gt; "", VLOOKUP(CONCATENATE("P", AE5), pointsSystem, 2, FALSE), 0)</f>
        <v>0</v>
      </c>
      <c r="CG5" s="6">
        <f t="shared" ref="CG5" si="19">IF(AF5 &lt;&gt; "", VLOOKUP(CONCATENATE("P", AF5), pointsSystem, 3, FALSE), 0)</f>
        <v>0</v>
      </c>
      <c r="CH5" s="47">
        <f t="shared" ref="CH5" si="20">IF(AG5 &lt;&gt; "", VLOOKUP(CONCATENATE("P", AG5), pointsSystem, 4, FALSE), 0)</f>
        <v>0</v>
      </c>
      <c r="CI5" s="46">
        <f t="shared" ref="CI5" si="21">IF(AH5 &lt;&gt; "", VLOOKUP(CONCATENATE("P", AH5), pointsSystem, 2, FALSE), 0)</f>
        <v>0</v>
      </c>
      <c r="CJ5" s="6">
        <f t="shared" ref="CJ5" si="22">IF(AI5 &lt;&gt; "", VLOOKUP(CONCATENATE("P", AI5), pointsSystem, 3, FALSE), 0)</f>
        <v>0</v>
      </c>
      <c r="CK5" s="47">
        <f t="shared" ref="CK5" si="23">IF(AJ5 &lt;&gt; "", VLOOKUP(CONCATENATE("P", AJ5), pointsSystem, 4, FALSE), 0)</f>
        <v>0</v>
      </c>
      <c r="CL5" s="46">
        <f t="shared" ref="CL5" si="24">IF(AK5 &lt;&gt; "", VLOOKUP(CONCATENATE("P", AK5), pointsSystem, 2, FALSE), 0)</f>
        <v>0</v>
      </c>
      <c r="CM5" s="6">
        <f t="shared" ref="CM5" si="25">IF(AL5 &lt;&gt; "", VLOOKUP(CONCATENATE("P", AL5), pointsSystem, 3, FALSE), 0)</f>
        <v>0</v>
      </c>
      <c r="CN5" s="47">
        <f t="shared" ref="CN5" si="26">IF(AM5 &lt;&gt; "", VLOOKUP(CONCATENATE("P", AM5), pointsSystem, 4, FALSE), 0)</f>
        <v>0</v>
      </c>
      <c r="CO5" s="46">
        <f t="shared" ref="CO5" si="27">IF(AN5 &lt;&gt; "", VLOOKUP(CONCATENATE("P", AN5), pointsSystem, 2, FALSE), 0)</f>
        <v>0</v>
      </c>
      <c r="CP5" s="6">
        <f t="shared" ref="CP5" si="28">IF(AO5 &lt;&gt; "", VLOOKUP(CONCATENATE("P", AO5), pointsSystem, 3, FALSE), 0)</f>
        <v>0</v>
      </c>
      <c r="CQ5" s="47">
        <f t="shared" ref="CQ5" si="29">IF(AP5 &lt;&gt; "", VLOOKUP(CONCATENATE("P", AP5), pointsSystem, 4, FALSE), 0)</f>
        <v>0</v>
      </c>
      <c r="CR5" s="46">
        <f t="shared" ref="CR5" si="30">IF(AQ5 &lt;&gt; "", VLOOKUP(CONCATENATE("P", AQ5), pointsSystem, 2, FALSE), 0)</f>
        <v>0</v>
      </c>
      <c r="CS5" s="6">
        <f t="shared" ref="CS5" si="31">IF(AR5 &lt;&gt; "", VLOOKUP(CONCATENATE("P", AR5), pointsSystem, 3, FALSE), 0)</f>
        <v>0</v>
      </c>
      <c r="CT5" s="47">
        <f t="shared" ref="CT5" si="32">IF(AS5 &lt;&gt; "", VLOOKUP(CONCATENATE("P", AS5), pointsSystem, 4, FALSE), 0)</f>
        <v>0</v>
      </c>
      <c r="CU5" s="46">
        <f t="shared" ref="CU5" si="33">IF(AT5 &lt;&gt; "", VLOOKUP(CONCATENATE("P", AT5), pointsSystem, 2, FALSE), 0)</f>
        <v>0</v>
      </c>
      <c r="CV5" s="6">
        <f t="shared" ref="CV5" si="34">IF(AU5 &lt;&gt; "", VLOOKUP(CONCATENATE("P", AU5), pointsSystem, 3, FALSE), 0)</f>
        <v>0</v>
      </c>
      <c r="CW5" s="47">
        <f t="shared" ref="CW5" si="35">IF(AV5 &lt;&gt; "", VLOOKUP(CONCATENATE("P", AV5), pointsSystem, 4, FALSE), 0)</f>
        <v>0</v>
      </c>
      <c r="CX5" s="46">
        <f t="shared" ref="CX5" si="36">IF(AW5 &lt;&gt; "", VLOOKUP(CONCATENATE("P", AW5), pointsSystem, 2, FALSE), 0)</f>
        <v>0</v>
      </c>
      <c r="CY5" s="6">
        <f t="shared" ref="CY5" si="37">IF(AX5 &lt;&gt; "", VLOOKUP(CONCATENATE("P", AX5), pointsSystem, 3, FALSE), 0)</f>
        <v>0</v>
      </c>
      <c r="CZ5" s="47">
        <f t="shared" ref="CZ5" si="38">IF(AY5 &lt;&gt; "", VLOOKUP(CONCATENATE("P", AY5), pointsSystem, 4, FALSE), 0)</f>
        <v>0</v>
      </c>
      <c r="DA5" s="48">
        <f t="shared" ref="DA5" si="39">AZ5 * 1</f>
        <v>0</v>
      </c>
      <c r="DD5" s="42" t="s">
        <v>335</v>
      </c>
      <c r="DE5" s="46">
        <f t="shared" ref="DE5:EQ5" si="40">MAX(BN5:BN8) + LARGE(BN5:BN8, 2)</f>
        <v>0</v>
      </c>
      <c r="DF5" s="6">
        <f t="shared" si="40"/>
        <v>0</v>
      </c>
      <c r="DG5" s="47">
        <f t="shared" si="40"/>
        <v>0</v>
      </c>
      <c r="DH5" s="46">
        <f t="shared" si="40"/>
        <v>0</v>
      </c>
      <c r="DI5" s="6">
        <f t="shared" si="40"/>
        <v>0</v>
      </c>
      <c r="DJ5" s="47">
        <f t="shared" si="40"/>
        <v>0</v>
      </c>
      <c r="DK5" s="46">
        <f t="shared" si="40"/>
        <v>0</v>
      </c>
      <c r="DL5" s="6">
        <f t="shared" si="40"/>
        <v>0</v>
      </c>
      <c r="DM5" s="47">
        <f t="shared" si="40"/>
        <v>0</v>
      </c>
      <c r="DN5" s="46">
        <f t="shared" si="40"/>
        <v>0</v>
      </c>
      <c r="DO5" s="6">
        <f t="shared" si="40"/>
        <v>0</v>
      </c>
      <c r="DP5" s="47">
        <f t="shared" si="40"/>
        <v>0</v>
      </c>
      <c r="DQ5" s="46">
        <f t="shared" si="40"/>
        <v>0</v>
      </c>
      <c r="DR5" s="6">
        <f t="shared" si="40"/>
        <v>0</v>
      </c>
      <c r="DS5" s="47">
        <f t="shared" si="40"/>
        <v>0</v>
      </c>
      <c r="DT5" s="46">
        <f t="shared" si="40"/>
        <v>0</v>
      </c>
      <c r="DU5" s="6">
        <f t="shared" si="40"/>
        <v>0</v>
      </c>
      <c r="DV5" s="47">
        <f t="shared" si="40"/>
        <v>0</v>
      </c>
      <c r="DW5" s="46">
        <f t="shared" si="40"/>
        <v>0</v>
      </c>
      <c r="DX5" s="6">
        <f t="shared" si="40"/>
        <v>0</v>
      </c>
      <c r="DY5" s="47">
        <f t="shared" si="40"/>
        <v>0</v>
      </c>
      <c r="DZ5" s="46">
        <f t="shared" si="40"/>
        <v>0</v>
      </c>
      <c r="EA5" s="6">
        <f t="shared" si="40"/>
        <v>0</v>
      </c>
      <c r="EB5" s="47">
        <f t="shared" si="40"/>
        <v>0</v>
      </c>
      <c r="EC5" s="46">
        <f t="shared" si="40"/>
        <v>0</v>
      </c>
      <c r="ED5" s="6">
        <f t="shared" si="40"/>
        <v>0</v>
      </c>
      <c r="EE5" s="47">
        <f t="shared" si="40"/>
        <v>0</v>
      </c>
      <c r="EF5" s="46">
        <f t="shared" si="40"/>
        <v>0</v>
      </c>
      <c r="EG5" s="6">
        <f t="shared" si="40"/>
        <v>0</v>
      </c>
      <c r="EH5" s="47">
        <f t="shared" si="40"/>
        <v>0</v>
      </c>
      <c r="EI5" s="46">
        <f t="shared" si="40"/>
        <v>0</v>
      </c>
      <c r="EJ5" s="6">
        <f t="shared" si="40"/>
        <v>0</v>
      </c>
      <c r="EK5" s="47">
        <f t="shared" si="40"/>
        <v>0</v>
      </c>
      <c r="EL5" s="46">
        <f t="shared" si="40"/>
        <v>0</v>
      </c>
      <c r="EM5" s="6">
        <f t="shared" si="40"/>
        <v>0</v>
      </c>
      <c r="EN5" s="47">
        <f t="shared" si="40"/>
        <v>0</v>
      </c>
      <c r="EO5" s="46">
        <f t="shared" si="40"/>
        <v>0</v>
      </c>
      <c r="EP5" s="6">
        <f t="shared" si="40"/>
        <v>0</v>
      </c>
      <c r="EQ5" s="47">
        <f t="shared" si="40"/>
        <v>0</v>
      </c>
      <c r="ER5" s="48">
        <f>SUM(DA5:DA8)</f>
        <v>0</v>
      </c>
      <c r="EU5" s="237" t="s">
        <v>34</v>
      </c>
      <c r="EV5" s="13">
        <f>MAX(BN5:BN8, BN13:BN16, BN33:BN36)</f>
        <v>0</v>
      </c>
      <c r="EW5" s="30">
        <f t="shared" ref="EW5:GG5" si="41">MAX(BO5:BO8, BO13:BO16, BO33:BO36)</f>
        <v>0</v>
      </c>
      <c r="EX5" s="14">
        <f t="shared" si="41"/>
        <v>0</v>
      </c>
      <c r="EY5" s="13">
        <f t="shared" si="41"/>
        <v>0</v>
      </c>
      <c r="EZ5" s="30">
        <f t="shared" si="41"/>
        <v>0</v>
      </c>
      <c r="FA5" s="14">
        <f t="shared" si="41"/>
        <v>0</v>
      </c>
      <c r="FB5" s="13">
        <f t="shared" si="41"/>
        <v>0</v>
      </c>
      <c r="FC5" s="30">
        <f t="shared" si="41"/>
        <v>0</v>
      </c>
      <c r="FD5" s="14">
        <f t="shared" si="41"/>
        <v>0</v>
      </c>
      <c r="FE5" s="13">
        <f t="shared" si="41"/>
        <v>0</v>
      </c>
      <c r="FF5" s="30">
        <f t="shared" si="41"/>
        <v>0</v>
      </c>
      <c r="FG5" s="14">
        <f t="shared" si="41"/>
        <v>0</v>
      </c>
      <c r="FH5" s="13">
        <f t="shared" si="41"/>
        <v>0</v>
      </c>
      <c r="FI5" s="30">
        <f t="shared" si="41"/>
        <v>0</v>
      </c>
      <c r="FJ5" s="14">
        <f t="shared" si="41"/>
        <v>0</v>
      </c>
      <c r="FK5" s="13">
        <f t="shared" si="41"/>
        <v>0</v>
      </c>
      <c r="FL5" s="30">
        <f t="shared" si="41"/>
        <v>0</v>
      </c>
      <c r="FM5" s="14">
        <f t="shared" si="41"/>
        <v>0</v>
      </c>
      <c r="FN5" s="13">
        <f t="shared" si="41"/>
        <v>0</v>
      </c>
      <c r="FO5" s="30">
        <f t="shared" si="41"/>
        <v>0</v>
      </c>
      <c r="FP5" s="14">
        <f t="shared" si="41"/>
        <v>0</v>
      </c>
      <c r="FQ5" s="85">
        <f t="shared" si="41"/>
        <v>0</v>
      </c>
      <c r="FR5" s="30">
        <f t="shared" si="41"/>
        <v>0</v>
      </c>
      <c r="FS5" s="49">
        <f t="shared" si="41"/>
        <v>0</v>
      </c>
      <c r="FT5" s="13">
        <f t="shared" si="41"/>
        <v>0</v>
      </c>
      <c r="FU5" s="30">
        <f t="shared" si="41"/>
        <v>0</v>
      </c>
      <c r="FV5" s="14">
        <f t="shared" si="41"/>
        <v>0</v>
      </c>
      <c r="FW5" s="13">
        <f t="shared" si="41"/>
        <v>0</v>
      </c>
      <c r="FX5" s="30">
        <f t="shared" si="41"/>
        <v>0</v>
      </c>
      <c r="FY5" s="14">
        <f t="shared" si="41"/>
        <v>0</v>
      </c>
      <c r="FZ5" s="13">
        <f t="shared" si="41"/>
        <v>0</v>
      </c>
      <c r="GA5" s="30">
        <f t="shared" si="41"/>
        <v>0</v>
      </c>
      <c r="GB5" s="14">
        <f t="shared" si="41"/>
        <v>0</v>
      </c>
      <c r="GC5" s="13">
        <f t="shared" si="41"/>
        <v>0</v>
      </c>
      <c r="GD5" s="30">
        <f t="shared" si="41"/>
        <v>0</v>
      </c>
      <c r="GE5" s="14">
        <f t="shared" si="41"/>
        <v>0</v>
      </c>
      <c r="GF5" s="13">
        <f t="shared" si="41"/>
        <v>0</v>
      </c>
      <c r="GG5" s="30">
        <f t="shared" si="41"/>
        <v>0</v>
      </c>
      <c r="GH5" s="14">
        <f>MAX(CZ5:CZ8, CZ13:CZ16, CZ33:CZ36)</f>
        <v>0</v>
      </c>
      <c r="GI5" s="226">
        <f>SUM(DA5:DA8, DA13:DA16, DA33:DA36)</f>
        <v>0</v>
      </c>
      <c r="GL5" s="192">
        <f>SUM(EV5:GI6)</f>
        <v>0</v>
      </c>
    </row>
    <row r="6" spans="2:194" ht="16.8" customHeight="1" thickBot="1" x14ac:dyDescent="0.35">
      <c r="B6" s="8" t="s">
        <v>20</v>
      </c>
      <c r="C6" s="42" t="s">
        <v>194</v>
      </c>
      <c r="D6" s="42" t="s">
        <v>60</v>
      </c>
      <c r="E6" s="42" t="s">
        <v>335</v>
      </c>
      <c r="F6" s="70" t="s">
        <v>34</v>
      </c>
      <c r="G6" s="75" t="s">
        <v>8</v>
      </c>
      <c r="H6" s="72" t="s">
        <v>12</v>
      </c>
      <c r="I6" s="11">
        <f t="shared" ref="I6:I7" si="42">SUM(BN6:DA6)</f>
        <v>0</v>
      </c>
      <c r="L6" s="42" t="s">
        <v>60</v>
      </c>
      <c r="M6" s="15"/>
      <c r="N6" s="5"/>
      <c r="O6" s="16"/>
      <c r="P6" s="15"/>
      <c r="Q6" s="5"/>
      <c r="R6" s="16"/>
      <c r="S6" s="15"/>
      <c r="T6" s="5"/>
      <c r="U6" s="16"/>
      <c r="V6" s="15"/>
      <c r="W6" s="5"/>
      <c r="X6" s="16"/>
      <c r="Y6" s="15"/>
      <c r="Z6" s="5"/>
      <c r="AA6" s="16"/>
      <c r="AB6" s="15"/>
      <c r="AC6" s="5"/>
      <c r="AD6" s="16"/>
      <c r="AE6" s="15"/>
      <c r="AF6" s="5"/>
      <c r="AG6" s="16"/>
      <c r="AH6" s="15"/>
      <c r="AI6" s="5"/>
      <c r="AJ6" s="16"/>
      <c r="AK6" s="15"/>
      <c r="AL6" s="5"/>
      <c r="AM6" s="16"/>
      <c r="AN6" s="15"/>
      <c r="AO6" s="5"/>
      <c r="AP6" s="16"/>
      <c r="AQ6" s="15"/>
      <c r="AR6" s="5"/>
      <c r="AS6" s="16"/>
      <c r="AT6" s="15"/>
      <c r="AU6" s="5"/>
      <c r="AV6" s="16"/>
      <c r="AW6" s="15"/>
      <c r="AX6" s="5"/>
      <c r="AY6" s="16"/>
      <c r="AZ6" s="11"/>
      <c r="BC6" s="8" t="s">
        <v>20</v>
      </c>
      <c r="BD6" s="64" t="s">
        <v>446</v>
      </c>
      <c r="BE6" s="11">
        <f t="shared" ref="BE6:BE14" si="43">SUM(DE6:ER6)</f>
        <v>0</v>
      </c>
      <c r="BH6" s="70" t="s">
        <v>594</v>
      </c>
      <c r="BI6" s="75" t="s">
        <v>597</v>
      </c>
      <c r="BJ6" s="72" t="s">
        <v>598</v>
      </c>
      <c r="BM6" s="42" t="s">
        <v>60</v>
      </c>
      <c r="BN6" s="46">
        <f t="shared" ref="BN6:BN7" si="44">IF(M6 &lt;&gt; "", VLOOKUP(CONCATENATE("P", M6), pointsSystem, 2, FALSE), 0)</f>
        <v>0</v>
      </c>
      <c r="BO6" s="6">
        <f t="shared" ref="BO6:BO7" si="45">IF(N6 &lt;&gt; "", VLOOKUP(CONCATENATE("P", N6), pointsSystem, 3, FALSE), 0)</f>
        <v>0</v>
      </c>
      <c r="BP6" s="47">
        <f t="shared" ref="BP6:BP7" si="46">IF(O6 &lt;&gt; "", VLOOKUP(CONCATENATE("P", O6), pointsSystem, 4, FALSE), 0)</f>
        <v>0</v>
      </c>
      <c r="BQ6" s="46">
        <f t="shared" ref="BQ6:BQ7" si="47">IF(P6 &lt;&gt; "", VLOOKUP(CONCATENATE("P", P6), pointsSystem, 2, FALSE), 0)</f>
        <v>0</v>
      </c>
      <c r="BR6" s="6">
        <f t="shared" ref="BR6:BR7" si="48">IF(Q6 &lt;&gt; "", VLOOKUP(CONCATENATE("P", Q6), pointsSystem, 3, FALSE), 0)</f>
        <v>0</v>
      </c>
      <c r="BS6" s="47">
        <f t="shared" ref="BS6:BS7" si="49">IF(R6 &lt;&gt; "", VLOOKUP(CONCATENATE("P", R6), pointsSystem, 4, FALSE), 0)</f>
        <v>0</v>
      </c>
      <c r="BT6" s="46">
        <f t="shared" ref="BT6:BT7" si="50">IF(S6 &lt;&gt; "", VLOOKUP(CONCATENATE("P", S6), pointsSystem, 2, FALSE), 0)</f>
        <v>0</v>
      </c>
      <c r="BU6" s="6">
        <f t="shared" ref="BU6:BU7" si="51">IF(T6 &lt;&gt; "", VLOOKUP(CONCATENATE("P", T6), pointsSystem, 3, FALSE), 0)</f>
        <v>0</v>
      </c>
      <c r="BV6" s="47">
        <f t="shared" ref="BV6:BV7" si="52">IF(U6 &lt;&gt; "", VLOOKUP(CONCATENATE("P", U6), pointsSystem, 4, FALSE), 0)</f>
        <v>0</v>
      </c>
      <c r="BW6" s="46">
        <f t="shared" ref="BW6:BW7" si="53">IF(V6 &lt;&gt; "", VLOOKUP(CONCATENATE("P", V6), pointsSystem, 2, FALSE), 0)</f>
        <v>0</v>
      </c>
      <c r="BX6" s="6">
        <f t="shared" ref="BX6:BX7" si="54">IF(W6 &lt;&gt; "", VLOOKUP(CONCATENATE("P", W6), pointsSystem, 3, FALSE), 0)</f>
        <v>0</v>
      </c>
      <c r="BY6" s="47">
        <f t="shared" ref="BY6:BY7" si="55">IF(X6 &lt;&gt; "", VLOOKUP(CONCATENATE("P", X6), pointsSystem, 4, FALSE), 0)</f>
        <v>0</v>
      </c>
      <c r="BZ6" s="46">
        <f t="shared" ref="BZ6:BZ7" si="56">IF(Y6 &lt;&gt; "", VLOOKUP(CONCATENATE("P", Y6), pointsSystem, 2, FALSE), 0)</f>
        <v>0</v>
      </c>
      <c r="CA6" s="6">
        <f t="shared" ref="CA6:CA7" si="57">IF(Z6 &lt;&gt; "", VLOOKUP(CONCATENATE("P", Z6), pointsSystem, 3, FALSE), 0)</f>
        <v>0</v>
      </c>
      <c r="CB6" s="47">
        <f t="shared" ref="CB6:CB7" si="58">IF(AA6 &lt;&gt; "", VLOOKUP(CONCATENATE("P", AA6), pointsSystem, 4, FALSE), 0)</f>
        <v>0</v>
      </c>
      <c r="CC6" s="46">
        <f t="shared" ref="CC6:CC7" si="59">IF(AB6 &lt;&gt; "", VLOOKUP(CONCATENATE("P", AB6), pointsSystem, 2, FALSE), 0)</f>
        <v>0</v>
      </c>
      <c r="CD6" s="6">
        <f t="shared" ref="CD6:CD7" si="60">IF(AC6 &lt;&gt; "", VLOOKUP(CONCATENATE("P", AC6), pointsSystem, 3, FALSE), 0)</f>
        <v>0</v>
      </c>
      <c r="CE6" s="47">
        <f t="shared" ref="CE6:CE7" si="61">IF(AD6 &lt;&gt; "", VLOOKUP(CONCATENATE("P", AD6), pointsSystem, 4, FALSE), 0)</f>
        <v>0</v>
      </c>
      <c r="CF6" s="46">
        <f t="shared" ref="CF6:CF7" si="62">IF(AE6 &lt;&gt; "", VLOOKUP(CONCATENATE("P", AE6), pointsSystem, 2, FALSE), 0)</f>
        <v>0</v>
      </c>
      <c r="CG6" s="6">
        <f t="shared" ref="CG6:CG7" si="63">IF(AF6 &lt;&gt; "", VLOOKUP(CONCATENATE("P", AF6), pointsSystem, 3, FALSE), 0)</f>
        <v>0</v>
      </c>
      <c r="CH6" s="47">
        <f t="shared" ref="CH6:CH7" si="64">IF(AG6 &lt;&gt; "", VLOOKUP(CONCATENATE("P", AG6), pointsSystem, 4, FALSE), 0)</f>
        <v>0</v>
      </c>
      <c r="CI6" s="46">
        <f t="shared" ref="CI6:CI7" si="65">IF(AH6 &lt;&gt; "", VLOOKUP(CONCATENATE("P", AH6), pointsSystem, 2, FALSE), 0)</f>
        <v>0</v>
      </c>
      <c r="CJ6" s="6">
        <f t="shared" ref="CJ6:CJ7" si="66">IF(AI6 &lt;&gt; "", VLOOKUP(CONCATENATE("P", AI6), pointsSystem, 3, FALSE), 0)</f>
        <v>0</v>
      </c>
      <c r="CK6" s="47">
        <f t="shared" ref="CK6:CK7" si="67">IF(AJ6 &lt;&gt; "", VLOOKUP(CONCATENATE("P", AJ6), pointsSystem, 4, FALSE), 0)</f>
        <v>0</v>
      </c>
      <c r="CL6" s="46">
        <f t="shared" ref="CL6:CL7" si="68">IF(AK6 &lt;&gt; "", VLOOKUP(CONCATENATE("P", AK6), pointsSystem, 2, FALSE), 0)</f>
        <v>0</v>
      </c>
      <c r="CM6" s="6">
        <f t="shared" ref="CM6:CM7" si="69">IF(AL6 &lt;&gt; "", VLOOKUP(CONCATENATE("P", AL6), pointsSystem, 3, FALSE), 0)</f>
        <v>0</v>
      </c>
      <c r="CN6" s="47">
        <f t="shared" ref="CN6:CN7" si="70">IF(AM6 &lt;&gt; "", VLOOKUP(CONCATENATE("P", AM6), pointsSystem, 4, FALSE), 0)</f>
        <v>0</v>
      </c>
      <c r="CO6" s="46">
        <f t="shared" ref="CO6:CO7" si="71">IF(AN6 &lt;&gt; "", VLOOKUP(CONCATENATE("P", AN6), pointsSystem, 2, FALSE), 0)</f>
        <v>0</v>
      </c>
      <c r="CP6" s="6">
        <f t="shared" ref="CP6:CP7" si="72">IF(AO6 &lt;&gt; "", VLOOKUP(CONCATENATE("P", AO6), pointsSystem, 3, FALSE), 0)</f>
        <v>0</v>
      </c>
      <c r="CQ6" s="47">
        <f t="shared" ref="CQ6:CQ7" si="73">IF(AP6 &lt;&gt; "", VLOOKUP(CONCATENATE("P", AP6), pointsSystem, 4, FALSE), 0)</f>
        <v>0</v>
      </c>
      <c r="CR6" s="46">
        <f t="shared" ref="CR6:CR7" si="74">IF(AQ6 &lt;&gt; "", VLOOKUP(CONCATENATE("P", AQ6), pointsSystem, 2, FALSE), 0)</f>
        <v>0</v>
      </c>
      <c r="CS6" s="6">
        <f t="shared" ref="CS6:CS7" si="75">IF(AR6 &lt;&gt; "", VLOOKUP(CONCATENATE("P", AR6), pointsSystem, 3, FALSE), 0)</f>
        <v>0</v>
      </c>
      <c r="CT6" s="47">
        <f t="shared" ref="CT6:CT7" si="76">IF(AS6 &lt;&gt; "", VLOOKUP(CONCATENATE("P", AS6), pointsSystem, 4, FALSE), 0)</f>
        <v>0</v>
      </c>
      <c r="CU6" s="46">
        <f t="shared" ref="CU6:CU7" si="77">IF(AT6 &lt;&gt; "", VLOOKUP(CONCATENATE("P", AT6), pointsSystem, 2, FALSE), 0)</f>
        <v>0</v>
      </c>
      <c r="CV6" s="6">
        <f t="shared" ref="CV6:CV7" si="78">IF(AU6 &lt;&gt; "", VLOOKUP(CONCATENATE("P", AU6), pointsSystem, 3, FALSE), 0)</f>
        <v>0</v>
      </c>
      <c r="CW6" s="47">
        <f t="shared" ref="CW6:CW7" si="79">IF(AV6 &lt;&gt; "", VLOOKUP(CONCATENATE("P", AV6), pointsSystem, 4, FALSE), 0)</f>
        <v>0</v>
      </c>
      <c r="CX6" s="46">
        <f t="shared" ref="CX6:CX7" si="80">IF(AW6 &lt;&gt; "", VLOOKUP(CONCATENATE("P", AW6), pointsSystem, 2, FALSE), 0)</f>
        <v>0</v>
      </c>
      <c r="CY6" s="6">
        <f t="shared" ref="CY6:CY7" si="81">IF(AX6 &lt;&gt; "", VLOOKUP(CONCATENATE("P", AX6), pointsSystem, 3, FALSE), 0)</f>
        <v>0</v>
      </c>
      <c r="CZ6" s="47">
        <f t="shared" ref="CZ6:CZ7" si="82">IF(AY6 &lt;&gt; "", VLOOKUP(CONCATENATE("P", AY6), pointsSystem, 4, FALSE), 0)</f>
        <v>0</v>
      </c>
      <c r="DA6" s="48">
        <f t="shared" ref="DA6:DA7" si="83">AZ6 * 1</f>
        <v>0</v>
      </c>
      <c r="DD6" s="64" t="s">
        <v>446</v>
      </c>
      <c r="DE6" s="15">
        <f>MAX(BN9:BN12) + LARGE(BN9:BN12, 2)</f>
        <v>0</v>
      </c>
      <c r="DF6" s="5">
        <f>MAX(BO9:BO12) + LARGE(BO9:BO12, 2)</f>
        <v>0</v>
      </c>
      <c r="DG6" s="16">
        <f>MAX(BP9:BP12) + LARGE(BP9:BP12, 2)</f>
        <v>0</v>
      </c>
      <c r="DH6" s="15">
        <f t="shared" ref="DH6:EQ6" si="84">MAX(BQ9:BQ12) + LARGE(BQ9:BQ12, 2)</f>
        <v>0</v>
      </c>
      <c r="DI6" s="5">
        <f t="shared" si="84"/>
        <v>0</v>
      </c>
      <c r="DJ6" s="16">
        <f t="shared" si="84"/>
        <v>0</v>
      </c>
      <c r="DK6" s="15">
        <f t="shared" si="84"/>
        <v>0</v>
      </c>
      <c r="DL6" s="5">
        <f t="shared" si="84"/>
        <v>0</v>
      </c>
      <c r="DM6" s="16">
        <f t="shared" si="84"/>
        <v>0</v>
      </c>
      <c r="DN6" s="15">
        <f t="shared" si="84"/>
        <v>0</v>
      </c>
      <c r="DO6" s="5">
        <f t="shared" si="84"/>
        <v>0</v>
      </c>
      <c r="DP6" s="16">
        <f t="shared" si="84"/>
        <v>0</v>
      </c>
      <c r="DQ6" s="15">
        <f t="shared" si="84"/>
        <v>0</v>
      </c>
      <c r="DR6" s="5">
        <f t="shared" si="84"/>
        <v>0</v>
      </c>
      <c r="DS6" s="16">
        <f t="shared" si="84"/>
        <v>0</v>
      </c>
      <c r="DT6" s="15">
        <f t="shared" si="84"/>
        <v>0</v>
      </c>
      <c r="DU6" s="5">
        <f t="shared" si="84"/>
        <v>0</v>
      </c>
      <c r="DV6" s="16">
        <f t="shared" si="84"/>
        <v>0</v>
      </c>
      <c r="DW6" s="15">
        <f t="shared" si="84"/>
        <v>0</v>
      </c>
      <c r="DX6" s="5">
        <f t="shared" si="84"/>
        <v>0</v>
      </c>
      <c r="DY6" s="16">
        <f t="shared" si="84"/>
        <v>0</v>
      </c>
      <c r="DZ6" s="15">
        <f t="shared" si="84"/>
        <v>0</v>
      </c>
      <c r="EA6" s="5">
        <f t="shared" si="84"/>
        <v>0</v>
      </c>
      <c r="EB6" s="16">
        <f t="shared" si="84"/>
        <v>0</v>
      </c>
      <c r="EC6" s="15">
        <f t="shared" si="84"/>
        <v>0</v>
      </c>
      <c r="ED6" s="5">
        <f t="shared" si="84"/>
        <v>0</v>
      </c>
      <c r="EE6" s="16">
        <f t="shared" si="84"/>
        <v>0</v>
      </c>
      <c r="EF6" s="15">
        <f t="shared" si="84"/>
        <v>0</v>
      </c>
      <c r="EG6" s="5">
        <f t="shared" si="84"/>
        <v>0</v>
      </c>
      <c r="EH6" s="16">
        <f t="shared" si="84"/>
        <v>0</v>
      </c>
      <c r="EI6" s="15">
        <f t="shared" si="84"/>
        <v>0</v>
      </c>
      <c r="EJ6" s="5">
        <f t="shared" si="84"/>
        <v>0</v>
      </c>
      <c r="EK6" s="16">
        <f t="shared" si="84"/>
        <v>0</v>
      </c>
      <c r="EL6" s="15">
        <f t="shared" si="84"/>
        <v>0</v>
      </c>
      <c r="EM6" s="5">
        <f t="shared" si="84"/>
        <v>0</v>
      </c>
      <c r="EN6" s="16">
        <f t="shared" si="84"/>
        <v>0</v>
      </c>
      <c r="EO6" s="15">
        <f t="shared" si="84"/>
        <v>0</v>
      </c>
      <c r="EP6" s="5">
        <f t="shared" si="84"/>
        <v>0</v>
      </c>
      <c r="EQ6" s="16">
        <f t="shared" si="84"/>
        <v>0</v>
      </c>
      <c r="ER6" s="11">
        <f>SUM(DA9:DA12)</f>
        <v>0</v>
      </c>
      <c r="EU6" s="238"/>
      <c r="EV6" s="17">
        <f>LARGE((BN5:BN8, BN13:BN16, BN33:BN36), 2)</f>
        <v>0</v>
      </c>
      <c r="EW6" s="31">
        <f>LARGE((BO5:BO8, BO13:BO16, BO33:BO36), 2)</f>
        <v>0</v>
      </c>
      <c r="EX6" s="18">
        <f>LARGE((BP5:BP8, BP13:BP16, BP33:BP36), 2)</f>
        <v>0</v>
      </c>
      <c r="EY6" s="17">
        <f>LARGE((BQ5:BQ8, BQ13:BQ16, BQ33:BQ36), 2)</f>
        <v>0</v>
      </c>
      <c r="EZ6" s="31">
        <f>LARGE((BR5:BR8, BR13:BR16, BR33:BR36), 2)</f>
        <v>0</v>
      </c>
      <c r="FA6" s="18">
        <f>LARGE((BS5:BS8, BS13:BS16, BS33:BS36), 2)</f>
        <v>0</v>
      </c>
      <c r="FB6" s="17">
        <f>LARGE((BT5:BT8, BT13:BT16, BT33:BT36), 2)</f>
        <v>0</v>
      </c>
      <c r="FC6" s="31">
        <f>LARGE((BU5:BU8, BU13:BU16, BU33:BU36), 2)</f>
        <v>0</v>
      </c>
      <c r="FD6" s="18">
        <f>LARGE((BV5:BV8, BV13:BV16, BV33:BV36), 2)</f>
        <v>0</v>
      </c>
      <c r="FE6" s="17">
        <f>LARGE((BW5:BW8, BW13:BW16, BW33:BW36), 2)</f>
        <v>0</v>
      </c>
      <c r="FF6" s="31">
        <f>LARGE((BX5:BX8, BX13:BX16, BX33:BX36), 2)</f>
        <v>0</v>
      </c>
      <c r="FG6" s="18">
        <f>LARGE((BY5:BY8, BY13:BY16, BY33:BY36), 2)</f>
        <v>0</v>
      </c>
      <c r="FH6" s="17">
        <f>LARGE((BZ5:BZ8, BZ13:BZ16, BZ33:BZ36), 2)</f>
        <v>0</v>
      </c>
      <c r="FI6" s="31">
        <f>LARGE((CA5:CA8, CA13:CA16, CA33:CA36), 2)</f>
        <v>0</v>
      </c>
      <c r="FJ6" s="18">
        <f>LARGE((CB5:CB8, CB13:CB16, CB33:CB36), 2)</f>
        <v>0</v>
      </c>
      <c r="FK6" s="17">
        <f>LARGE((CC5:CC8, CC13:CC16, CC33:CC36), 2)</f>
        <v>0</v>
      </c>
      <c r="FL6" s="31">
        <f>LARGE((CD5:CD8, CD13:CD16, CD33:CD36), 2)</f>
        <v>0</v>
      </c>
      <c r="FM6" s="18">
        <f>LARGE((CE5:CE8, CE13:CE16, CE33:CE36), 2)</f>
        <v>0</v>
      </c>
      <c r="FN6" s="17">
        <f>LARGE((CF5:CF8, CF13:CF16, CF33:CF36), 2)</f>
        <v>0</v>
      </c>
      <c r="FO6" s="31">
        <f>LARGE((CG5:CG8, CG13:CG16, CG33:CG36), 2)</f>
        <v>0</v>
      </c>
      <c r="FP6" s="18">
        <f>LARGE((CH5:CH8, CH13:CH16, CH33:CH36), 2)</f>
        <v>0</v>
      </c>
      <c r="FQ6" s="86">
        <f>LARGE((CI5:CI8, CI13:CI16, CI33:CI36), 2)</f>
        <v>0</v>
      </c>
      <c r="FR6" s="31">
        <f>LARGE((CJ5:CJ8, CJ13:CJ16, CJ33:CJ36), 2)</f>
        <v>0</v>
      </c>
      <c r="FS6" s="50">
        <f>LARGE((CK5:CK8, CK13:CK16, CK33:CK36), 2)</f>
        <v>0</v>
      </c>
      <c r="FT6" s="17">
        <f>LARGE((CL5:CL8, CL13:CL16, CL33:CL36), 2)</f>
        <v>0</v>
      </c>
      <c r="FU6" s="31">
        <f>LARGE((CM5:CM8, CM13:CM16, CM33:CM36), 2)</f>
        <v>0</v>
      </c>
      <c r="FV6" s="18">
        <f>LARGE((CN5:CN8, CN13:CN16, CN33:CN36), 2)</f>
        <v>0</v>
      </c>
      <c r="FW6" s="17">
        <f>LARGE((CO5:CO8, CO13:CO16, CO33:CO36), 2)</f>
        <v>0</v>
      </c>
      <c r="FX6" s="31">
        <f>LARGE((CP5:CP8, CP13:CP16, CP33:CP36), 2)</f>
        <v>0</v>
      </c>
      <c r="FY6" s="18">
        <f>LARGE((CQ5:CQ8, CQ13:CQ16, CQ33:CQ36), 2)</f>
        <v>0</v>
      </c>
      <c r="FZ6" s="17">
        <f>LARGE((CR5:CR8, CR13:CR16, CR33:CR36), 2)</f>
        <v>0</v>
      </c>
      <c r="GA6" s="31">
        <f>LARGE((CS5:CS8, CS13:CS16, CS33:CS36), 2)</f>
        <v>0</v>
      </c>
      <c r="GB6" s="18">
        <f>LARGE((CT5:CT8, CT13:CT16, CT33:CT36), 2)</f>
        <v>0</v>
      </c>
      <c r="GC6" s="17">
        <f>LARGE((CU5:CU8, CU13:CU16, CU33:CU36), 2)</f>
        <v>0</v>
      </c>
      <c r="GD6" s="31">
        <f>LARGE((CV5:CV8, CV13:CV16, CV33:CV36), 2)</f>
        <v>0</v>
      </c>
      <c r="GE6" s="18">
        <f>LARGE((CW5:CW8, CW13:CW16, CW33:CW36), 2)</f>
        <v>0</v>
      </c>
      <c r="GF6" s="17">
        <f>LARGE((CX5:CX8, CX13:CX16, CX33:CX36), 2)</f>
        <v>0</v>
      </c>
      <c r="GG6" s="31">
        <f>LARGE((CY5:CY8, CY13:CY16, CY33:CY36), 2)</f>
        <v>0</v>
      </c>
      <c r="GH6" s="18">
        <f>LARGE((CZ5:CZ8, CZ13:CZ16, CZ33:CZ36), 2)</f>
        <v>0</v>
      </c>
      <c r="GI6" s="227"/>
      <c r="GL6" s="192"/>
    </row>
    <row r="7" spans="2:194" ht="16.8" customHeight="1" thickBot="1" x14ac:dyDescent="0.35">
      <c r="B7" s="8" t="s">
        <v>21</v>
      </c>
      <c r="C7" s="42" t="s">
        <v>283</v>
      </c>
      <c r="D7" s="42" t="s">
        <v>61</v>
      </c>
      <c r="E7" s="42" t="s">
        <v>335</v>
      </c>
      <c r="F7" s="70" t="s">
        <v>34</v>
      </c>
      <c r="G7" s="75" t="s">
        <v>8</v>
      </c>
      <c r="H7" s="72" t="s">
        <v>12</v>
      </c>
      <c r="I7" s="11">
        <f t="shared" si="42"/>
        <v>0</v>
      </c>
      <c r="L7" s="42" t="s">
        <v>61</v>
      </c>
      <c r="M7" s="15"/>
      <c r="N7" s="5"/>
      <c r="O7" s="16"/>
      <c r="P7" s="15"/>
      <c r="Q7" s="5"/>
      <c r="R7" s="16"/>
      <c r="S7" s="15"/>
      <c r="T7" s="5"/>
      <c r="U7" s="16"/>
      <c r="V7" s="15"/>
      <c r="W7" s="5"/>
      <c r="X7" s="16"/>
      <c r="Y7" s="15"/>
      <c r="Z7" s="5"/>
      <c r="AA7" s="16"/>
      <c r="AB7" s="15"/>
      <c r="AC7" s="5"/>
      <c r="AD7" s="16"/>
      <c r="AE7" s="15"/>
      <c r="AF7" s="5"/>
      <c r="AG7" s="16"/>
      <c r="AH7" s="15"/>
      <c r="AI7" s="5"/>
      <c r="AJ7" s="16"/>
      <c r="AK7" s="15"/>
      <c r="AL7" s="5"/>
      <c r="AM7" s="16"/>
      <c r="AN7" s="15"/>
      <c r="AO7" s="5"/>
      <c r="AP7" s="16"/>
      <c r="AQ7" s="15"/>
      <c r="AR7" s="5"/>
      <c r="AS7" s="16"/>
      <c r="AT7" s="15"/>
      <c r="AU7" s="5"/>
      <c r="AV7" s="16"/>
      <c r="AW7" s="15"/>
      <c r="AX7" s="5"/>
      <c r="AY7" s="16"/>
      <c r="AZ7" s="11"/>
      <c r="BC7" s="8" t="s">
        <v>21</v>
      </c>
      <c r="BD7" s="35" t="s">
        <v>308</v>
      </c>
      <c r="BE7" s="11">
        <f t="shared" si="43"/>
        <v>0</v>
      </c>
      <c r="BH7" s="70" t="s">
        <v>594</v>
      </c>
      <c r="BI7" s="75" t="s">
        <v>597</v>
      </c>
      <c r="BJ7" s="72" t="s">
        <v>598</v>
      </c>
      <c r="BM7" s="42" t="s">
        <v>61</v>
      </c>
      <c r="BN7" s="46">
        <f t="shared" si="44"/>
        <v>0</v>
      </c>
      <c r="BO7" s="6">
        <f t="shared" si="45"/>
        <v>0</v>
      </c>
      <c r="BP7" s="47">
        <f t="shared" si="46"/>
        <v>0</v>
      </c>
      <c r="BQ7" s="46">
        <f t="shared" si="47"/>
        <v>0</v>
      </c>
      <c r="BR7" s="6">
        <f t="shared" si="48"/>
        <v>0</v>
      </c>
      <c r="BS7" s="47">
        <f t="shared" si="49"/>
        <v>0</v>
      </c>
      <c r="BT7" s="46">
        <f t="shared" si="50"/>
        <v>0</v>
      </c>
      <c r="BU7" s="6">
        <f t="shared" si="51"/>
        <v>0</v>
      </c>
      <c r="BV7" s="47">
        <f t="shared" si="52"/>
        <v>0</v>
      </c>
      <c r="BW7" s="46">
        <f t="shared" si="53"/>
        <v>0</v>
      </c>
      <c r="BX7" s="6">
        <f t="shared" si="54"/>
        <v>0</v>
      </c>
      <c r="BY7" s="47">
        <f t="shared" si="55"/>
        <v>0</v>
      </c>
      <c r="BZ7" s="46">
        <f t="shared" si="56"/>
        <v>0</v>
      </c>
      <c r="CA7" s="6">
        <f t="shared" si="57"/>
        <v>0</v>
      </c>
      <c r="CB7" s="47">
        <f t="shared" si="58"/>
        <v>0</v>
      </c>
      <c r="CC7" s="46">
        <f t="shared" si="59"/>
        <v>0</v>
      </c>
      <c r="CD7" s="6">
        <f t="shared" si="60"/>
        <v>0</v>
      </c>
      <c r="CE7" s="47">
        <f t="shared" si="61"/>
        <v>0</v>
      </c>
      <c r="CF7" s="46">
        <f t="shared" si="62"/>
        <v>0</v>
      </c>
      <c r="CG7" s="6">
        <f t="shared" si="63"/>
        <v>0</v>
      </c>
      <c r="CH7" s="47">
        <f t="shared" si="64"/>
        <v>0</v>
      </c>
      <c r="CI7" s="46">
        <f t="shared" si="65"/>
        <v>0</v>
      </c>
      <c r="CJ7" s="6">
        <f t="shared" si="66"/>
        <v>0</v>
      </c>
      <c r="CK7" s="47">
        <f t="shared" si="67"/>
        <v>0</v>
      </c>
      <c r="CL7" s="46">
        <f t="shared" si="68"/>
        <v>0</v>
      </c>
      <c r="CM7" s="6">
        <f t="shared" si="69"/>
        <v>0</v>
      </c>
      <c r="CN7" s="47">
        <f t="shared" si="70"/>
        <v>0</v>
      </c>
      <c r="CO7" s="46">
        <f t="shared" si="71"/>
        <v>0</v>
      </c>
      <c r="CP7" s="6">
        <f t="shared" si="72"/>
        <v>0</v>
      </c>
      <c r="CQ7" s="47">
        <f t="shared" si="73"/>
        <v>0</v>
      </c>
      <c r="CR7" s="46">
        <f t="shared" si="74"/>
        <v>0</v>
      </c>
      <c r="CS7" s="6">
        <f t="shared" si="75"/>
        <v>0</v>
      </c>
      <c r="CT7" s="47">
        <f t="shared" si="76"/>
        <v>0</v>
      </c>
      <c r="CU7" s="46">
        <f t="shared" si="77"/>
        <v>0</v>
      </c>
      <c r="CV7" s="6">
        <f t="shared" si="78"/>
        <v>0</v>
      </c>
      <c r="CW7" s="47">
        <f t="shared" si="79"/>
        <v>0</v>
      </c>
      <c r="CX7" s="46">
        <f t="shared" si="80"/>
        <v>0</v>
      </c>
      <c r="CY7" s="6">
        <f t="shared" si="81"/>
        <v>0</v>
      </c>
      <c r="CZ7" s="47">
        <f t="shared" si="82"/>
        <v>0</v>
      </c>
      <c r="DA7" s="48">
        <f t="shared" si="83"/>
        <v>0</v>
      </c>
      <c r="DD7" s="35" t="s">
        <v>308</v>
      </c>
      <c r="DE7" s="15">
        <f>MAX(BN13:BN16) + LARGE(BN13:BN16, 2)</f>
        <v>0</v>
      </c>
      <c r="DF7" s="5">
        <f>MAX(BO13:BO16) + LARGE(BO13:BO16, 2)</f>
        <v>0</v>
      </c>
      <c r="DG7" s="16">
        <f>MAX(BP13:BP16) + LARGE(BP13:BP16, 2)</f>
        <v>0</v>
      </c>
      <c r="DH7" s="15">
        <f t="shared" ref="DH7:EQ7" si="85">MAX(BQ13:BQ16) + LARGE(BQ13:BQ16, 2)</f>
        <v>0</v>
      </c>
      <c r="DI7" s="5">
        <f t="shared" si="85"/>
        <v>0</v>
      </c>
      <c r="DJ7" s="16">
        <f t="shared" si="85"/>
        <v>0</v>
      </c>
      <c r="DK7" s="15">
        <f t="shared" si="85"/>
        <v>0</v>
      </c>
      <c r="DL7" s="5">
        <f t="shared" si="85"/>
        <v>0</v>
      </c>
      <c r="DM7" s="16">
        <f t="shared" si="85"/>
        <v>0</v>
      </c>
      <c r="DN7" s="15">
        <f t="shared" si="85"/>
        <v>0</v>
      </c>
      <c r="DO7" s="5">
        <f t="shared" si="85"/>
        <v>0</v>
      </c>
      <c r="DP7" s="16">
        <f t="shared" si="85"/>
        <v>0</v>
      </c>
      <c r="DQ7" s="15">
        <f t="shared" si="85"/>
        <v>0</v>
      </c>
      <c r="DR7" s="5">
        <f t="shared" si="85"/>
        <v>0</v>
      </c>
      <c r="DS7" s="16">
        <f t="shared" si="85"/>
        <v>0</v>
      </c>
      <c r="DT7" s="15">
        <f t="shared" si="85"/>
        <v>0</v>
      </c>
      <c r="DU7" s="5">
        <f t="shared" si="85"/>
        <v>0</v>
      </c>
      <c r="DV7" s="16">
        <f t="shared" si="85"/>
        <v>0</v>
      </c>
      <c r="DW7" s="15">
        <f t="shared" si="85"/>
        <v>0</v>
      </c>
      <c r="DX7" s="5">
        <f t="shared" si="85"/>
        <v>0</v>
      </c>
      <c r="DY7" s="16">
        <f t="shared" si="85"/>
        <v>0</v>
      </c>
      <c r="DZ7" s="15">
        <f t="shared" si="85"/>
        <v>0</v>
      </c>
      <c r="EA7" s="5">
        <f t="shared" si="85"/>
        <v>0</v>
      </c>
      <c r="EB7" s="16">
        <f t="shared" si="85"/>
        <v>0</v>
      </c>
      <c r="EC7" s="15">
        <f t="shared" si="85"/>
        <v>0</v>
      </c>
      <c r="ED7" s="5">
        <f t="shared" si="85"/>
        <v>0</v>
      </c>
      <c r="EE7" s="16">
        <f t="shared" si="85"/>
        <v>0</v>
      </c>
      <c r="EF7" s="15">
        <f t="shared" si="85"/>
        <v>0</v>
      </c>
      <c r="EG7" s="5">
        <f t="shared" si="85"/>
        <v>0</v>
      </c>
      <c r="EH7" s="16">
        <f t="shared" si="85"/>
        <v>0</v>
      </c>
      <c r="EI7" s="15">
        <f t="shared" si="85"/>
        <v>0</v>
      </c>
      <c r="EJ7" s="5">
        <f t="shared" si="85"/>
        <v>0</v>
      </c>
      <c r="EK7" s="16">
        <f t="shared" si="85"/>
        <v>0</v>
      </c>
      <c r="EL7" s="15">
        <f t="shared" si="85"/>
        <v>0</v>
      </c>
      <c r="EM7" s="5">
        <f t="shared" si="85"/>
        <v>0</v>
      </c>
      <c r="EN7" s="16">
        <f t="shared" si="85"/>
        <v>0</v>
      </c>
      <c r="EO7" s="15">
        <f t="shared" si="85"/>
        <v>0</v>
      </c>
      <c r="EP7" s="5">
        <f t="shared" si="85"/>
        <v>0</v>
      </c>
      <c r="EQ7" s="16">
        <f t="shared" si="85"/>
        <v>0</v>
      </c>
      <c r="ER7" s="11">
        <f>SUM(DA13:DA16)</f>
        <v>0</v>
      </c>
      <c r="EU7" s="239" t="s">
        <v>439</v>
      </c>
      <c r="EV7" s="13">
        <f>MAX(BN41:BN44)</f>
        <v>0</v>
      </c>
      <c r="EW7" s="30">
        <f t="shared" ref="EW7:GH7" si="86">MAX(BO41:BO44)</f>
        <v>0</v>
      </c>
      <c r="EX7" s="14">
        <f t="shared" si="86"/>
        <v>0</v>
      </c>
      <c r="EY7" s="13">
        <f t="shared" si="86"/>
        <v>0</v>
      </c>
      <c r="EZ7" s="30">
        <f t="shared" si="86"/>
        <v>0</v>
      </c>
      <c r="FA7" s="14">
        <f t="shared" si="86"/>
        <v>0</v>
      </c>
      <c r="FB7" s="13">
        <f t="shared" si="86"/>
        <v>0</v>
      </c>
      <c r="FC7" s="30">
        <f t="shared" si="86"/>
        <v>0</v>
      </c>
      <c r="FD7" s="14">
        <f t="shared" si="86"/>
        <v>0</v>
      </c>
      <c r="FE7" s="13">
        <f t="shared" si="86"/>
        <v>0</v>
      </c>
      <c r="FF7" s="30">
        <f t="shared" si="86"/>
        <v>0</v>
      </c>
      <c r="FG7" s="14">
        <f t="shared" si="86"/>
        <v>0</v>
      </c>
      <c r="FH7" s="13">
        <f t="shared" si="86"/>
        <v>0</v>
      </c>
      <c r="FI7" s="30">
        <f t="shared" si="86"/>
        <v>0</v>
      </c>
      <c r="FJ7" s="14">
        <f t="shared" si="86"/>
        <v>0</v>
      </c>
      <c r="FK7" s="13">
        <f t="shared" si="86"/>
        <v>0</v>
      </c>
      <c r="FL7" s="30">
        <f t="shared" si="86"/>
        <v>0</v>
      </c>
      <c r="FM7" s="14">
        <f t="shared" si="86"/>
        <v>0</v>
      </c>
      <c r="FN7" s="13">
        <f t="shared" si="86"/>
        <v>0</v>
      </c>
      <c r="FO7" s="30">
        <f t="shared" si="86"/>
        <v>0</v>
      </c>
      <c r="FP7" s="14">
        <f t="shared" si="86"/>
        <v>0</v>
      </c>
      <c r="FQ7" s="85">
        <f t="shared" si="86"/>
        <v>0</v>
      </c>
      <c r="FR7" s="30">
        <f t="shared" si="86"/>
        <v>0</v>
      </c>
      <c r="FS7" s="49">
        <f t="shared" si="86"/>
        <v>0</v>
      </c>
      <c r="FT7" s="13">
        <f t="shared" si="86"/>
        <v>0</v>
      </c>
      <c r="FU7" s="30">
        <f t="shared" si="86"/>
        <v>0</v>
      </c>
      <c r="FV7" s="14">
        <f t="shared" si="86"/>
        <v>0</v>
      </c>
      <c r="FW7" s="13">
        <f t="shared" si="86"/>
        <v>0</v>
      </c>
      <c r="FX7" s="30">
        <f t="shared" si="86"/>
        <v>0</v>
      </c>
      <c r="FY7" s="14">
        <f t="shared" si="86"/>
        <v>0</v>
      </c>
      <c r="FZ7" s="13">
        <f t="shared" si="86"/>
        <v>0</v>
      </c>
      <c r="GA7" s="30">
        <f t="shared" si="86"/>
        <v>0</v>
      </c>
      <c r="GB7" s="14">
        <f t="shared" si="86"/>
        <v>0</v>
      </c>
      <c r="GC7" s="13">
        <f t="shared" si="86"/>
        <v>0</v>
      </c>
      <c r="GD7" s="30">
        <f t="shared" si="86"/>
        <v>0</v>
      </c>
      <c r="GE7" s="14">
        <f t="shared" si="86"/>
        <v>0</v>
      </c>
      <c r="GF7" s="13">
        <f t="shared" si="86"/>
        <v>0</v>
      </c>
      <c r="GG7" s="30">
        <f t="shared" si="86"/>
        <v>0</v>
      </c>
      <c r="GH7" s="14">
        <f t="shared" si="86"/>
        <v>0</v>
      </c>
      <c r="GI7" s="226">
        <f>SUM(DA41:DA44)</f>
        <v>0</v>
      </c>
      <c r="GL7" s="192">
        <f>SUM(EV7:GI8)</f>
        <v>0</v>
      </c>
    </row>
    <row r="8" spans="2:194" ht="16.8" customHeight="1" thickBot="1" x14ac:dyDescent="0.35">
      <c r="B8" s="8" t="s">
        <v>22</v>
      </c>
      <c r="C8" s="64" t="s">
        <v>285</v>
      </c>
      <c r="D8" s="64" t="s">
        <v>62</v>
      </c>
      <c r="E8" s="64" t="s">
        <v>446</v>
      </c>
      <c r="F8" s="71" t="s">
        <v>6</v>
      </c>
      <c r="G8" s="74" t="s">
        <v>9</v>
      </c>
      <c r="H8" s="72" t="s">
        <v>12</v>
      </c>
      <c r="I8" s="11">
        <f>SUM(BN9:DA9)</f>
        <v>0</v>
      </c>
      <c r="L8" s="64" t="s">
        <v>62</v>
      </c>
      <c r="M8" s="15"/>
      <c r="N8" s="5"/>
      <c r="O8" s="16"/>
      <c r="P8" s="15"/>
      <c r="Q8" s="5"/>
      <c r="R8" s="16"/>
      <c r="S8" s="15"/>
      <c r="T8" s="5"/>
      <c r="U8" s="16"/>
      <c r="V8" s="15"/>
      <c r="W8" s="5"/>
      <c r="X8" s="16"/>
      <c r="Y8" s="15"/>
      <c r="Z8" s="5"/>
      <c r="AA8" s="16"/>
      <c r="AB8" s="15"/>
      <c r="AC8" s="5"/>
      <c r="AD8" s="16"/>
      <c r="AE8" s="15"/>
      <c r="AF8" s="5"/>
      <c r="AG8" s="16"/>
      <c r="AH8" s="15"/>
      <c r="AI8" s="5"/>
      <c r="AJ8" s="16"/>
      <c r="AK8" s="15"/>
      <c r="AL8" s="5"/>
      <c r="AM8" s="16"/>
      <c r="AN8" s="15"/>
      <c r="AO8" s="5"/>
      <c r="AP8" s="16"/>
      <c r="AQ8" s="15"/>
      <c r="AR8" s="5"/>
      <c r="AS8" s="16"/>
      <c r="AT8" s="15"/>
      <c r="AU8" s="5"/>
      <c r="AV8" s="16"/>
      <c r="AW8" s="15"/>
      <c r="AX8" s="5"/>
      <c r="AY8" s="16"/>
      <c r="AZ8" s="11"/>
      <c r="BC8" s="8" t="s">
        <v>22</v>
      </c>
      <c r="BD8" s="37" t="s">
        <v>334</v>
      </c>
      <c r="BE8" s="11">
        <f t="shared" si="43"/>
        <v>0</v>
      </c>
      <c r="BH8" s="70" t="s">
        <v>594</v>
      </c>
      <c r="BI8" s="75" t="s">
        <v>597</v>
      </c>
      <c r="BJ8" s="72" t="s">
        <v>598</v>
      </c>
      <c r="BM8" s="42" t="s">
        <v>340</v>
      </c>
      <c r="BN8" s="46">
        <f>IF(M37 &lt;&gt; "", VLOOKUP(CONCATENATE("P", M37), pointsSystem, 2, FALSE), 0)</f>
        <v>0</v>
      </c>
      <c r="BO8" s="6">
        <f>IF(N37 &lt;&gt; "", VLOOKUP(CONCATENATE("P", N37), pointsSystem, 3, FALSE), 0)</f>
        <v>0</v>
      </c>
      <c r="BP8" s="47">
        <f>IF(O37 &lt;&gt; "", VLOOKUP(CONCATENATE("P", O37), pointsSystem, 4, FALSE), 0)</f>
        <v>0</v>
      </c>
      <c r="BQ8" s="46">
        <f>IF(P37 &lt;&gt; "", VLOOKUP(CONCATENATE("P", P37), pointsSystem, 2, FALSE), 0)</f>
        <v>0</v>
      </c>
      <c r="BR8" s="6">
        <f>IF(Q37 &lt;&gt; "", VLOOKUP(CONCATENATE("P", Q37), pointsSystem, 3, FALSE), 0)</f>
        <v>0</v>
      </c>
      <c r="BS8" s="47">
        <f>IF(R37 &lt;&gt; "", VLOOKUP(CONCATENATE("P", R37), pointsSystem, 4, FALSE), 0)</f>
        <v>0</v>
      </c>
      <c r="BT8" s="46">
        <f>IF(S37 &lt;&gt; "", VLOOKUP(CONCATENATE("P", S37), pointsSystem, 2, FALSE), 0)</f>
        <v>0</v>
      </c>
      <c r="BU8" s="6">
        <f>IF(T37 &lt;&gt; "", VLOOKUP(CONCATENATE("P", T37), pointsSystem, 3, FALSE), 0)</f>
        <v>0</v>
      </c>
      <c r="BV8" s="47">
        <f>IF(U37 &lt;&gt; "", VLOOKUP(CONCATENATE("P", U37), pointsSystem, 4, FALSE), 0)</f>
        <v>0</v>
      </c>
      <c r="BW8" s="46">
        <f>IF(V37 &lt;&gt; "", VLOOKUP(CONCATENATE("P", V37), pointsSystem, 2, FALSE), 0)</f>
        <v>0</v>
      </c>
      <c r="BX8" s="6">
        <f>IF(W37 &lt;&gt; "", VLOOKUP(CONCATENATE("P", W37), pointsSystem, 3, FALSE), 0)</f>
        <v>0</v>
      </c>
      <c r="BY8" s="47">
        <f>IF(X37 &lt;&gt; "", VLOOKUP(CONCATENATE("P", X37), pointsSystem, 4, FALSE), 0)</f>
        <v>0</v>
      </c>
      <c r="BZ8" s="46">
        <f>IF(Y37 &lt;&gt; "", VLOOKUP(CONCATENATE("P", Y37), pointsSystem, 2, FALSE), 0)</f>
        <v>0</v>
      </c>
      <c r="CA8" s="6">
        <f>IF(Z37 &lt;&gt; "", VLOOKUP(CONCATENATE("P", Z37), pointsSystem, 3, FALSE), 0)</f>
        <v>0</v>
      </c>
      <c r="CB8" s="47">
        <f>IF(AA37 &lt;&gt; "", VLOOKUP(CONCATENATE("P", AA37), pointsSystem, 4, FALSE), 0)</f>
        <v>0</v>
      </c>
      <c r="CC8" s="46">
        <f>IF(AB37 &lt;&gt; "", VLOOKUP(CONCATENATE("P", AB37), pointsSystem, 2, FALSE), 0)</f>
        <v>0</v>
      </c>
      <c r="CD8" s="6">
        <f>IF(AC37 &lt;&gt; "", VLOOKUP(CONCATENATE("P", AC37), pointsSystem, 3, FALSE), 0)</f>
        <v>0</v>
      </c>
      <c r="CE8" s="47">
        <f>IF(AD37 &lt;&gt; "", VLOOKUP(CONCATENATE("P", AD37), pointsSystem, 4, FALSE), 0)</f>
        <v>0</v>
      </c>
      <c r="CF8" s="46">
        <f>IF(AE37 &lt;&gt; "", VLOOKUP(CONCATENATE("P", AE37), pointsSystem, 2, FALSE), 0)</f>
        <v>0</v>
      </c>
      <c r="CG8" s="6">
        <f>IF(AF37 &lt;&gt; "", VLOOKUP(CONCATENATE("P", AF37), pointsSystem, 3, FALSE), 0)</f>
        <v>0</v>
      </c>
      <c r="CH8" s="47">
        <f>IF(AG37 &lt;&gt; "", VLOOKUP(CONCATENATE("P", AG37), pointsSystem, 4, FALSE), 0)</f>
        <v>0</v>
      </c>
      <c r="CI8" s="46">
        <f>IF(AH37 &lt;&gt; "", VLOOKUP(CONCATENATE("P", AH37), pointsSystem, 2, FALSE), 0)</f>
        <v>0</v>
      </c>
      <c r="CJ8" s="6">
        <f>IF(AI37 &lt;&gt; "", VLOOKUP(CONCATENATE("P", AI37), pointsSystem, 3, FALSE), 0)</f>
        <v>0</v>
      </c>
      <c r="CK8" s="47">
        <f>IF(AJ37 &lt;&gt; "", VLOOKUP(CONCATENATE("P", AJ37), pointsSystem, 4, FALSE), 0)</f>
        <v>0</v>
      </c>
      <c r="CL8" s="46">
        <f>IF(AK37 &lt;&gt; "", VLOOKUP(CONCATENATE("P", AK37), pointsSystem, 2, FALSE), 0)</f>
        <v>0</v>
      </c>
      <c r="CM8" s="6">
        <f>IF(AL37 &lt;&gt; "", VLOOKUP(CONCATENATE("P", AL37), pointsSystem, 3, FALSE), 0)</f>
        <v>0</v>
      </c>
      <c r="CN8" s="47">
        <f>IF(AM37 &lt;&gt; "", VLOOKUP(CONCATENATE("P", AM37), pointsSystem, 4, FALSE), 0)</f>
        <v>0</v>
      </c>
      <c r="CO8" s="46">
        <f>IF(AN37 &lt;&gt; "", VLOOKUP(CONCATENATE("P", AN37), pointsSystem, 2, FALSE), 0)</f>
        <v>0</v>
      </c>
      <c r="CP8" s="6">
        <f>IF(AO37 &lt;&gt; "", VLOOKUP(CONCATENATE("P", AO37), pointsSystem, 3, FALSE), 0)</f>
        <v>0</v>
      </c>
      <c r="CQ8" s="47">
        <f>IF(AP37 &lt;&gt; "", VLOOKUP(CONCATENATE("P", AP37), pointsSystem, 4, FALSE), 0)</f>
        <v>0</v>
      </c>
      <c r="CR8" s="46">
        <f>IF(AQ37 &lt;&gt; "", VLOOKUP(CONCATENATE("P", AQ37), pointsSystem, 2, FALSE), 0)</f>
        <v>0</v>
      </c>
      <c r="CS8" s="6">
        <f>IF(AR37 &lt;&gt; "", VLOOKUP(CONCATENATE("P", AR37), pointsSystem, 3, FALSE), 0)</f>
        <v>0</v>
      </c>
      <c r="CT8" s="47">
        <f>IF(AS37 &lt;&gt; "", VLOOKUP(CONCATENATE("P", AS37), pointsSystem, 4, FALSE), 0)</f>
        <v>0</v>
      </c>
      <c r="CU8" s="46">
        <f>IF(AT37 &lt;&gt; "", VLOOKUP(CONCATENATE("P", AT37), pointsSystem, 2, FALSE), 0)</f>
        <v>0</v>
      </c>
      <c r="CV8" s="6">
        <f>IF(AU37 &lt;&gt; "", VLOOKUP(CONCATENATE("P", AU37), pointsSystem, 3, FALSE), 0)</f>
        <v>0</v>
      </c>
      <c r="CW8" s="47">
        <f>IF(AV37 &lt;&gt; "", VLOOKUP(CONCATENATE("P", AV37), pointsSystem, 4, FALSE), 0)</f>
        <v>0</v>
      </c>
      <c r="CX8" s="46">
        <f>IF(AW37 &lt;&gt; "", VLOOKUP(CONCATENATE("P", AW37), pointsSystem, 2, FALSE), 0)</f>
        <v>0</v>
      </c>
      <c r="CY8" s="6">
        <f>IF(AX37 &lt;&gt; "", VLOOKUP(CONCATENATE("P", AX37), pointsSystem, 3, FALSE), 0)</f>
        <v>0</v>
      </c>
      <c r="CZ8" s="47">
        <f>IF(AY37 &lt;&gt; "", VLOOKUP(CONCATENATE("P", AY37), pointsSystem, 4, FALSE), 0)</f>
        <v>0</v>
      </c>
      <c r="DA8" s="48">
        <f>AZ37 * 1</f>
        <v>0</v>
      </c>
      <c r="DD8" s="37" t="s">
        <v>334</v>
      </c>
      <c r="DE8" s="15">
        <f>MAX(BN17:BN20) + LARGE(BN17:BN20, 2)</f>
        <v>0</v>
      </c>
      <c r="DF8" s="5">
        <f>MAX(BO17:BO20) + LARGE(BO17:BO20, 2)</f>
        <v>0</v>
      </c>
      <c r="DG8" s="16">
        <f>MAX(BP17:BP20) + LARGE(BP17:BP20, 2)</f>
        <v>0</v>
      </c>
      <c r="DH8" s="15">
        <f t="shared" ref="DH8:EQ8" si="87">MAX(BQ17:BQ20) + LARGE(BQ17:BQ20, 2)</f>
        <v>0</v>
      </c>
      <c r="DI8" s="5">
        <f t="shared" si="87"/>
        <v>0</v>
      </c>
      <c r="DJ8" s="16">
        <f t="shared" si="87"/>
        <v>0</v>
      </c>
      <c r="DK8" s="15">
        <f t="shared" si="87"/>
        <v>0</v>
      </c>
      <c r="DL8" s="5">
        <f t="shared" si="87"/>
        <v>0</v>
      </c>
      <c r="DM8" s="16">
        <f t="shared" si="87"/>
        <v>0</v>
      </c>
      <c r="DN8" s="15">
        <f t="shared" si="87"/>
        <v>0</v>
      </c>
      <c r="DO8" s="5">
        <f t="shared" si="87"/>
        <v>0</v>
      </c>
      <c r="DP8" s="16">
        <f t="shared" si="87"/>
        <v>0</v>
      </c>
      <c r="DQ8" s="15">
        <f t="shared" si="87"/>
        <v>0</v>
      </c>
      <c r="DR8" s="5">
        <f t="shared" si="87"/>
        <v>0</v>
      </c>
      <c r="DS8" s="16">
        <f t="shared" si="87"/>
        <v>0</v>
      </c>
      <c r="DT8" s="15">
        <f t="shared" si="87"/>
        <v>0</v>
      </c>
      <c r="DU8" s="5">
        <f t="shared" si="87"/>
        <v>0</v>
      </c>
      <c r="DV8" s="16">
        <f t="shared" si="87"/>
        <v>0</v>
      </c>
      <c r="DW8" s="15">
        <f t="shared" si="87"/>
        <v>0</v>
      </c>
      <c r="DX8" s="5">
        <f t="shared" si="87"/>
        <v>0</v>
      </c>
      <c r="DY8" s="16">
        <f t="shared" si="87"/>
        <v>0</v>
      </c>
      <c r="DZ8" s="15">
        <f t="shared" si="87"/>
        <v>0</v>
      </c>
      <c r="EA8" s="5">
        <f t="shared" si="87"/>
        <v>0</v>
      </c>
      <c r="EB8" s="16">
        <f t="shared" si="87"/>
        <v>0</v>
      </c>
      <c r="EC8" s="15">
        <f t="shared" si="87"/>
        <v>0</v>
      </c>
      <c r="ED8" s="5">
        <f t="shared" si="87"/>
        <v>0</v>
      </c>
      <c r="EE8" s="16">
        <f t="shared" si="87"/>
        <v>0</v>
      </c>
      <c r="EF8" s="15">
        <f t="shared" si="87"/>
        <v>0</v>
      </c>
      <c r="EG8" s="5">
        <f t="shared" si="87"/>
        <v>0</v>
      </c>
      <c r="EH8" s="16">
        <f t="shared" si="87"/>
        <v>0</v>
      </c>
      <c r="EI8" s="15">
        <f t="shared" si="87"/>
        <v>0</v>
      </c>
      <c r="EJ8" s="5">
        <f t="shared" si="87"/>
        <v>0</v>
      </c>
      <c r="EK8" s="16">
        <f t="shared" si="87"/>
        <v>0</v>
      </c>
      <c r="EL8" s="15">
        <f t="shared" si="87"/>
        <v>0</v>
      </c>
      <c r="EM8" s="5">
        <f t="shared" si="87"/>
        <v>0</v>
      </c>
      <c r="EN8" s="16">
        <f t="shared" si="87"/>
        <v>0</v>
      </c>
      <c r="EO8" s="15">
        <f t="shared" si="87"/>
        <v>0</v>
      </c>
      <c r="EP8" s="5">
        <f t="shared" si="87"/>
        <v>0</v>
      </c>
      <c r="EQ8" s="16">
        <f t="shared" si="87"/>
        <v>0</v>
      </c>
      <c r="ER8" s="11">
        <f>SUM(DA17:DA20)</f>
        <v>0</v>
      </c>
      <c r="EU8" s="240"/>
      <c r="EV8" s="17">
        <f>LARGE(BN41:BN44, 2)</f>
        <v>0</v>
      </c>
      <c r="EW8" s="31">
        <f t="shared" ref="EW8:GH8" si="88">LARGE(BO41:BO44, 2)</f>
        <v>0</v>
      </c>
      <c r="EX8" s="18">
        <f t="shared" si="88"/>
        <v>0</v>
      </c>
      <c r="EY8" s="17">
        <f t="shared" si="88"/>
        <v>0</v>
      </c>
      <c r="EZ8" s="31">
        <f t="shared" si="88"/>
        <v>0</v>
      </c>
      <c r="FA8" s="18">
        <f t="shared" si="88"/>
        <v>0</v>
      </c>
      <c r="FB8" s="17">
        <f t="shared" si="88"/>
        <v>0</v>
      </c>
      <c r="FC8" s="31">
        <f t="shared" si="88"/>
        <v>0</v>
      </c>
      <c r="FD8" s="18">
        <f t="shared" si="88"/>
        <v>0</v>
      </c>
      <c r="FE8" s="17">
        <f t="shared" si="88"/>
        <v>0</v>
      </c>
      <c r="FF8" s="31">
        <f t="shared" si="88"/>
        <v>0</v>
      </c>
      <c r="FG8" s="18">
        <f t="shared" si="88"/>
        <v>0</v>
      </c>
      <c r="FH8" s="17">
        <f t="shared" si="88"/>
        <v>0</v>
      </c>
      <c r="FI8" s="31">
        <f t="shared" si="88"/>
        <v>0</v>
      </c>
      <c r="FJ8" s="18">
        <f t="shared" si="88"/>
        <v>0</v>
      </c>
      <c r="FK8" s="17">
        <f t="shared" si="88"/>
        <v>0</v>
      </c>
      <c r="FL8" s="31">
        <f t="shared" si="88"/>
        <v>0</v>
      </c>
      <c r="FM8" s="18">
        <f t="shared" si="88"/>
        <v>0</v>
      </c>
      <c r="FN8" s="17">
        <f t="shared" si="88"/>
        <v>0</v>
      </c>
      <c r="FO8" s="31">
        <f t="shared" si="88"/>
        <v>0</v>
      </c>
      <c r="FP8" s="18">
        <f t="shared" si="88"/>
        <v>0</v>
      </c>
      <c r="FQ8" s="86">
        <f t="shared" si="88"/>
        <v>0</v>
      </c>
      <c r="FR8" s="31">
        <f t="shared" si="88"/>
        <v>0</v>
      </c>
      <c r="FS8" s="50">
        <f t="shared" si="88"/>
        <v>0</v>
      </c>
      <c r="FT8" s="17">
        <f t="shared" si="88"/>
        <v>0</v>
      </c>
      <c r="FU8" s="31">
        <f t="shared" si="88"/>
        <v>0</v>
      </c>
      <c r="FV8" s="18">
        <f t="shared" si="88"/>
        <v>0</v>
      </c>
      <c r="FW8" s="17">
        <f t="shared" si="88"/>
        <v>0</v>
      </c>
      <c r="FX8" s="31">
        <f t="shared" si="88"/>
        <v>0</v>
      </c>
      <c r="FY8" s="18">
        <f t="shared" si="88"/>
        <v>0</v>
      </c>
      <c r="FZ8" s="17">
        <f t="shared" si="88"/>
        <v>0</v>
      </c>
      <c r="GA8" s="31">
        <f t="shared" si="88"/>
        <v>0</v>
      </c>
      <c r="GB8" s="18">
        <f t="shared" si="88"/>
        <v>0</v>
      </c>
      <c r="GC8" s="17">
        <f t="shared" si="88"/>
        <v>0</v>
      </c>
      <c r="GD8" s="31">
        <f t="shared" si="88"/>
        <v>0</v>
      </c>
      <c r="GE8" s="18">
        <f t="shared" si="88"/>
        <v>0</v>
      </c>
      <c r="GF8" s="17">
        <f t="shared" si="88"/>
        <v>0</v>
      </c>
      <c r="GG8" s="31">
        <f t="shared" si="88"/>
        <v>0</v>
      </c>
      <c r="GH8" s="18">
        <f t="shared" si="88"/>
        <v>0</v>
      </c>
      <c r="GI8" s="227"/>
      <c r="GL8" s="192"/>
    </row>
    <row r="9" spans="2:194" ht="16.8" customHeight="1" thickBot="1" x14ac:dyDescent="0.35">
      <c r="B9" s="8" t="s">
        <v>23</v>
      </c>
      <c r="C9" s="64" t="s">
        <v>262</v>
      </c>
      <c r="D9" s="64" t="s">
        <v>63</v>
      </c>
      <c r="E9" s="64" t="s">
        <v>446</v>
      </c>
      <c r="F9" s="71" t="s">
        <v>6</v>
      </c>
      <c r="G9" s="74" t="s">
        <v>9</v>
      </c>
      <c r="H9" s="72" t="s">
        <v>12</v>
      </c>
      <c r="I9" s="11">
        <f>SUM(BN10:DA10)</f>
        <v>0</v>
      </c>
      <c r="L9" s="64" t="s">
        <v>63</v>
      </c>
      <c r="M9" s="15"/>
      <c r="N9" s="5"/>
      <c r="O9" s="16"/>
      <c r="P9" s="15"/>
      <c r="Q9" s="5"/>
      <c r="R9" s="16"/>
      <c r="S9" s="15"/>
      <c r="T9" s="5"/>
      <c r="U9" s="16"/>
      <c r="V9" s="15"/>
      <c r="W9" s="5"/>
      <c r="X9" s="16"/>
      <c r="Y9" s="15"/>
      <c r="Z9" s="5"/>
      <c r="AA9" s="16"/>
      <c r="AB9" s="15"/>
      <c r="AC9" s="5"/>
      <c r="AD9" s="16"/>
      <c r="AE9" s="15"/>
      <c r="AF9" s="5"/>
      <c r="AG9" s="16"/>
      <c r="AH9" s="15"/>
      <c r="AI9" s="5"/>
      <c r="AJ9" s="16"/>
      <c r="AK9" s="15"/>
      <c r="AL9" s="5"/>
      <c r="AM9" s="16"/>
      <c r="AN9" s="15"/>
      <c r="AO9" s="5"/>
      <c r="AP9" s="16"/>
      <c r="AQ9" s="15"/>
      <c r="AR9" s="5"/>
      <c r="AS9" s="16"/>
      <c r="AT9" s="15"/>
      <c r="AU9" s="5"/>
      <c r="AV9" s="16"/>
      <c r="AW9" s="15"/>
      <c r="AX9" s="5"/>
      <c r="AY9" s="16"/>
      <c r="AZ9" s="11"/>
      <c r="BC9" s="8" t="s">
        <v>23</v>
      </c>
      <c r="BD9" s="40" t="s">
        <v>325</v>
      </c>
      <c r="BE9" s="11">
        <f t="shared" si="43"/>
        <v>0</v>
      </c>
      <c r="BH9" s="71" t="s">
        <v>125</v>
      </c>
      <c r="BI9" s="74" t="s">
        <v>125</v>
      </c>
      <c r="BJ9" s="72" t="s">
        <v>598</v>
      </c>
      <c r="BM9" s="64" t="s">
        <v>62</v>
      </c>
      <c r="BN9" s="46">
        <f>IF(M8 &lt;&gt; "", VLOOKUP(CONCATENATE("P", M8), pointsSystem, 2, FALSE), 0)</f>
        <v>0</v>
      </c>
      <c r="BO9" s="6">
        <f>IF(N8 &lt;&gt; "", VLOOKUP(CONCATENATE("P", N8), pointsSystem, 3, FALSE), 0)</f>
        <v>0</v>
      </c>
      <c r="BP9" s="47">
        <f>IF(O8 &lt;&gt; "", VLOOKUP(CONCATENATE("P", O8), pointsSystem, 4, FALSE), 0)</f>
        <v>0</v>
      </c>
      <c r="BQ9" s="46">
        <f>IF(P8 &lt;&gt; "", VLOOKUP(CONCATENATE("P", P8), pointsSystem, 2, FALSE), 0)</f>
        <v>0</v>
      </c>
      <c r="BR9" s="6">
        <f>IF(Q8 &lt;&gt; "", VLOOKUP(CONCATENATE("P", Q8), pointsSystem, 3, FALSE), 0)</f>
        <v>0</v>
      </c>
      <c r="BS9" s="47">
        <f>IF(R8 &lt;&gt; "", VLOOKUP(CONCATENATE("P", R8), pointsSystem, 4, FALSE), 0)</f>
        <v>0</v>
      </c>
      <c r="BT9" s="46">
        <f>IF(S8 &lt;&gt; "", VLOOKUP(CONCATENATE("P", S8), pointsSystem, 2, FALSE), 0)</f>
        <v>0</v>
      </c>
      <c r="BU9" s="6">
        <f>IF(T8 &lt;&gt; "", VLOOKUP(CONCATENATE("P", T8), pointsSystem, 3, FALSE), 0)</f>
        <v>0</v>
      </c>
      <c r="BV9" s="47">
        <f>IF(U8 &lt;&gt; "", VLOOKUP(CONCATENATE("P", U8), pointsSystem, 4, FALSE), 0)</f>
        <v>0</v>
      </c>
      <c r="BW9" s="46">
        <f>IF(V8 &lt;&gt; "", VLOOKUP(CONCATENATE("P", V8), pointsSystem, 2, FALSE), 0)</f>
        <v>0</v>
      </c>
      <c r="BX9" s="6">
        <f>IF(W8 &lt;&gt; "", VLOOKUP(CONCATENATE("P", W8), pointsSystem, 3, FALSE), 0)</f>
        <v>0</v>
      </c>
      <c r="BY9" s="47">
        <f>IF(X8 &lt;&gt; "", VLOOKUP(CONCATENATE("P", X8), pointsSystem, 4, FALSE), 0)</f>
        <v>0</v>
      </c>
      <c r="BZ9" s="46">
        <f>IF(Y8 &lt;&gt; "", VLOOKUP(CONCATENATE("P", Y8), pointsSystem, 2, FALSE), 0)</f>
        <v>0</v>
      </c>
      <c r="CA9" s="6">
        <f>IF(Z8 &lt;&gt; "", VLOOKUP(CONCATENATE("P", Z8), pointsSystem, 3, FALSE), 0)</f>
        <v>0</v>
      </c>
      <c r="CB9" s="47">
        <f>IF(AA8 &lt;&gt; "", VLOOKUP(CONCATENATE("P", AA8), pointsSystem, 4, FALSE), 0)</f>
        <v>0</v>
      </c>
      <c r="CC9" s="46">
        <f>IF(AB8 &lt;&gt; "", VLOOKUP(CONCATENATE("P", AB8), pointsSystem, 2, FALSE), 0)</f>
        <v>0</v>
      </c>
      <c r="CD9" s="6">
        <f>IF(AC8 &lt;&gt; "", VLOOKUP(CONCATENATE("P", AC8), pointsSystem, 3, FALSE), 0)</f>
        <v>0</v>
      </c>
      <c r="CE9" s="47">
        <f>IF(AD8 &lt;&gt; "", VLOOKUP(CONCATENATE("P", AD8), pointsSystem, 4, FALSE), 0)</f>
        <v>0</v>
      </c>
      <c r="CF9" s="46">
        <f>IF(AE8 &lt;&gt; "", VLOOKUP(CONCATENATE("P", AE8), pointsSystem, 2, FALSE), 0)</f>
        <v>0</v>
      </c>
      <c r="CG9" s="6">
        <f>IF(AF8 &lt;&gt; "", VLOOKUP(CONCATENATE("P", AF8), pointsSystem, 3, FALSE), 0)</f>
        <v>0</v>
      </c>
      <c r="CH9" s="47">
        <f>IF(AG8 &lt;&gt; "", VLOOKUP(CONCATENATE("P", AG8), pointsSystem, 4, FALSE), 0)</f>
        <v>0</v>
      </c>
      <c r="CI9" s="46">
        <f>IF(AH8 &lt;&gt; "", VLOOKUP(CONCATENATE("P", AH8), pointsSystem, 2, FALSE), 0)</f>
        <v>0</v>
      </c>
      <c r="CJ9" s="6">
        <f>IF(AI8 &lt;&gt; "", VLOOKUP(CONCATENATE("P", AI8), pointsSystem, 3, FALSE), 0)</f>
        <v>0</v>
      </c>
      <c r="CK9" s="47">
        <f>IF(AJ8 &lt;&gt; "", VLOOKUP(CONCATENATE("P", AJ8), pointsSystem, 4, FALSE), 0)</f>
        <v>0</v>
      </c>
      <c r="CL9" s="46">
        <f>IF(AK8 &lt;&gt; "", VLOOKUP(CONCATENATE("P", AK8), pointsSystem, 2, FALSE), 0)</f>
        <v>0</v>
      </c>
      <c r="CM9" s="6">
        <f>IF(AL8 &lt;&gt; "", VLOOKUP(CONCATENATE("P", AL8), pointsSystem, 3, FALSE), 0)</f>
        <v>0</v>
      </c>
      <c r="CN9" s="47">
        <f>IF(AM8 &lt;&gt; "", VLOOKUP(CONCATENATE("P", AM8), pointsSystem, 4, FALSE), 0)</f>
        <v>0</v>
      </c>
      <c r="CO9" s="46">
        <f>IF(AN8 &lt;&gt; "", VLOOKUP(CONCATENATE("P", AN8), pointsSystem, 2, FALSE), 0)</f>
        <v>0</v>
      </c>
      <c r="CP9" s="6">
        <f>IF(AO8 &lt;&gt; "", VLOOKUP(CONCATENATE("P", AO8), pointsSystem, 3, FALSE), 0)</f>
        <v>0</v>
      </c>
      <c r="CQ9" s="47">
        <f>IF(AP8 &lt;&gt; "", VLOOKUP(CONCATENATE("P", AP8), pointsSystem, 4, FALSE), 0)</f>
        <v>0</v>
      </c>
      <c r="CR9" s="46">
        <f>IF(AQ8 &lt;&gt; "", VLOOKUP(CONCATENATE("P", AQ8), pointsSystem, 2, FALSE), 0)</f>
        <v>0</v>
      </c>
      <c r="CS9" s="6">
        <f>IF(AR8 &lt;&gt; "", VLOOKUP(CONCATENATE("P", AR8), pointsSystem, 3, FALSE), 0)</f>
        <v>0</v>
      </c>
      <c r="CT9" s="47">
        <f>IF(AS8 &lt;&gt; "", VLOOKUP(CONCATENATE("P", AS8), pointsSystem, 4, FALSE), 0)</f>
        <v>0</v>
      </c>
      <c r="CU9" s="46">
        <f>IF(AT8 &lt;&gt; "", VLOOKUP(CONCATENATE("P", AT8), pointsSystem, 2, FALSE), 0)</f>
        <v>0</v>
      </c>
      <c r="CV9" s="6">
        <f>IF(AU8 &lt;&gt; "", VLOOKUP(CONCATENATE("P", AU8), pointsSystem, 3, FALSE), 0)</f>
        <v>0</v>
      </c>
      <c r="CW9" s="47">
        <f>IF(AV8 &lt;&gt; "", VLOOKUP(CONCATENATE("P", AV8), pointsSystem, 4, FALSE), 0)</f>
        <v>0</v>
      </c>
      <c r="CX9" s="46">
        <f>IF(AW8 &lt;&gt; "", VLOOKUP(CONCATENATE("P", AW8), pointsSystem, 2, FALSE), 0)</f>
        <v>0</v>
      </c>
      <c r="CY9" s="6">
        <f>IF(AX8 &lt;&gt; "", VLOOKUP(CONCATENATE("P", AX8), pointsSystem, 3, FALSE), 0)</f>
        <v>0</v>
      </c>
      <c r="CZ9" s="47">
        <f>IF(AY8 &lt;&gt; "", VLOOKUP(CONCATENATE("P", AY8), pointsSystem, 4, FALSE), 0)</f>
        <v>0</v>
      </c>
      <c r="DA9" s="48">
        <f>AZ8 * 1</f>
        <v>0</v>
      </c>
      <c r="DD9" s="40" t="s">
        <v>325</v>
      </c>
      <c r="DE9" s="15">
        <f>MAX(BN21:BN24) + LARGE(BN21:BN24, 2)</f>
        <v>0</v>
      </c>
      <c r="DF9" s="5">
        <f>MAX(BO21:BO24) + LARGE(BO21:BO24, 2)</f>
        <v>0</v>
      </c>
      <c r="DG9" s="16">
        <f>MAX(BP21:BP24) + LARGE(BP21:BP24, 2)</f>
        <v>0</v>
      </c>
      <c r="DH9" s="15">
        <f t="shared" ref="DH9:EQ9" si="89">MAX(BQ21:BQ24) + LARGE(BQ21:BQ24, 2)</f>
        <v>0</v>
      </c>
      <c r="DI9" s="5">
        <f t="shared" si="89"/>
        <v>0</v>
      </c>
      <c r="DJ9" s="16">
        <f t="shared" si="89"/>
        <v>0</v>
      </c>
      <c r="DK9" s="15">
        <f t="shared" si="89"/>
        <v>0</v>
      </c>
      <c r="DL9" s="5">
        <f t="shared" si="89"/>
        <v>0</v>
      </c>
      <c r="DM9" s="16">
        <f t="shared" si="89"/>
        <v>0</v>
      </c>
      <c r="DN9" s="15">
        <f t="shared" si="89"/>
        <v>0</v>
      </c>
      <c r="DO9" s="5">
        <f t="shared" si="89"/>
        <v>0</v>
      </c>
      <c r="DP9" s="16">
        <f t="shared" si="89"/>
        <v>0</v>
      </c>
      <c r="DQ9" s="15">
        <f t="shared" si="89"/>
        <v>0</v>
      </c>
      <c r="DR9" s="5">
        <f t="shared" si="89"/>
        <v>0</v>
      </c>
      <c r="DS9" s="16">
        <f t="shared" si="89"/>
        <v>0</v>
      </c>
      <c r="DT9" s="15">
        <f t="shared" si="89"/>
        <v>0</v>
      </c>
      <c r="DU9" s="5">
        <f t="shared" si="89"/>
        <v>0</v>
      </c>
      <c r="DV9" s="16">
        <f t="shared" si="89"/>
        <v>0</v>
      </c>
      <c r="DW9" s="15">
        <f t="shared" si="89"/>
        <v>0</v>
      </c>
      <c r="DX9" s="5">
        <f t="shared" si="89"/>
        <v>0</v>
      </c>
      <c r="DY9" s="16">
        <f t="shared" si="89"/>
        <v>0</v>
      </c>
      <c r="DZ9" s="15">
        <f t="shared" si="89"/>
        <v>0</v>
      </c>
      <c r="EA9" s="5">
        <f t="shared" si="89"/>
        <v>0</v>
      </c>
      <c r="EB9" s="16">
        <f t="shared" si="89"/>
        <v>0</v>
      </c>
      <c r="EC9" s="15">
        <f t="shared" si="89"/>
        <v>0</v>
      </c>
      <c r="ED9" s="5">
        <f t="shared" si="89"/>
        <v>0</v>
      </c>
      <c r="EE9" s="16">
        <f t="shared" si="89"/>
        <v>0</v>
      </c>
      <c r="EF9" s="15">
        <f t="shared" si="89"/>
        <v>0</v>
      </c>
      <c r="EG9" s="5">
        <f t="shared" si="89"/>
        <v>0</v>
      </c>
      <c r="EH9" s="16">
        <f t="shared" si="89"/>
        <v>0</v>
      </c>
      <c r="EI9" s="15">
        <f t="shared" si="89"/>
        <v>0</v>
      </c>
      <c r="EJ9" s="5">
        <f t="shared" si="89"/>
        <v>0</v>
      </c>
      <c r="EK9" s="16">
        <f t="shared" si="89"/>
        <v>0</v>
      </c>
      <c r="EL9" s="15">
        <f t="shared" si="89"/>
        <v>0</v>
      </c>
      <c r="EM9" s="5">
        <f t="shared" si="89"/>
        <v>0</v>
      </c>
      <c r="EN9" s="16">
        <f t="shared" si="89"/>
        <v>0</v>
      </c>
      <c r="EO9" s="15">
        <f t="shared" si="89"/>
        <v>0</v>
      </c>
      <c r="EP9" s="5">
        <f t="shared" si="89"/>
        <v>0</v>
      </c>
      <c r="EQ9" s="16">
        <f t="shared" si="89"/>
        <v>0</v>
      </c>
      <c r="ER9" s="11">
        <f>SUM(DA21:DA24)</f>
        <v>0</v>
      </c>
      <c r="EU9" s="241" t="s">
        <v>5</v>
      </c>
      <c r="EV9" s="13">
        <f>MAX(BN21:BN24, BN29:BN32, BN37:BN40)</f>
        <v>0</v>
      </c>
      <c r="EW9" s="30">
        <f t="shared" ref="EW9:GG9" si="90">MAX(BO21:BO24, BO29:BO32, BO37:BO40)</f>
        <v>0</v>
      </c>
      <c r="EX9" s="14">
        <f t="shared" si="90"/>
        <v>0</v>
      </c>
      <c r="EY9" s="13">
        <f t="shared" si="90"/>
        <v>0</v>
      </c>
      <c r="EZ9" s="30">
        <f t="shared" si="90"/>
        <v>0</v>
      </c>
      <c r="FA9" s="14">
        <f t="shared" si="90"/>
        <v>0</v>
      </c>
      <c r="FB9" s="13">
        <f t="shared" si="90"/>
        <v>0</v>
      </c>
      <c r="FC9" s="30">
        <f t="shared" si="90"/>
        <v>0</v>
      </c>
      <c r="FD9" s="14">
        <f t="shared" si="90"/>
        <v>0</v>
      </c>
      <c r="FE9" s="13">
        <f t="shared" si="90"/>
        <v>0</v>
      </c>
      <c r="FF9" s="30">
        <f t="shared" si="90"/>
        <v>0</v>
      </c>
      <c r="FG9" s="14">
        <f t="shared" si="90"/>
        <v>0</v>
      </c>
      <c r="FH9" s="13">
        <f t="shared" si="90"/>
        <v>0</v>
      </c>
      <c r="FI9" s="30">
        <f t="shared" si="90"/>
        <v>0</v>
      </c>
      <c r="FJ9" s="14">
        <f t="shared" si="90"/>
        <v>0</v>
      </c>
      <c r="FK9" s="13">
        <f t="shared" si="90"/>
        <v>0</v>
      </c>
      <c r="FL9" s="30">
        <f t="shared" si="90"/>
        <v>0</v>
      </c>
      <c r="FM9" s="14">
        <f t="shared" si="90"/>
        <v>0</v>
      </c>
      <c r="FN9" s="13">
        <f t="shared" si="90"/>
        <v>0</v>
      </c>
      <c r="FO9" s="30">
        <f t="shared" si="90"/>
        <v>0</v>
      </c>
      <c r="FP9" s="14">
        <f t="shared" si="90"/>
        <v>0</v>
      </c>
      <c r="FQ9" s="85">
        <f t="shared" si="90"/>
        <v>0</v>
      </c>
      <c r="FR9" s="30">
        <f t="shared" si="90"/>
        <v>0</v>
      </c>
      <c r="FS9" s="49">
        <f t="shared" si="90"/>
        <v>0</v>
      </c>
      <c r="FT9" s="13">
        <f t="shared" si="90"/>
        <v>0</v>
      </c>
      <c r="FU9" s="30">
        <f t="shared" si="90"/>
        <v>0</v>
      </c>
      <c r="FV9" s="14">
        <f t="shared" si="90"/>
        <v>0</v>
      </c>
      <c r="FW9" s="13">
        <f t="shared" si="90"/>
        <v>0</v>
      </c>
      <c r="FX9" s="30">
        <f t="shared" si="90"/>
        <v>0</v>
      </c>
      <c r="FY9" s="14">
        <f t="shared" si="90"/>
        <v>0</v>
      </c>
      <c r="FZ9" s="13">
        <f t="shared" si="90"/>
        <v>0</v>
      </c>
      <c r="GA9" s="30">
        <f t="shared" si="90"/>
        <v>0</v>
      </c>
      <c r="GB9" s="14">
        <f t="shared" si="90"/>
        <v>0</v>
      </c>
      <c r="GC9" s="13">
        <f t="shared" si="90"/>
        <v>0</v>
      </c>
      <c r="GD9" s="30">
        <f t="shared" si="90"/>
        <v>0</v>
      </c>
      <c r="GE9" s="14">
        <f t="shared" si="90"/>
        <v>0</v>
      </c>
      <c r="GF9" s="13">
        <f t="shared" si="90"/>
        <v>0</v>
      </c>
      <c r="GG9" s="30">
        <f t="shared" si="90"/>
        <v>0</v>
      </c>
      <c r="GH9" s="14">
        <f>MAX(CZ21:CZ24, CZ29:CZ32, CZ37:CZ40)</f>
        <v>0</v>
      </c>
      <c r="GI9" s="226">
        <f>SUM(DA21:DA24, DA29:DA32, DA37:DA40)</f>
        <v>0</v>
      </c>
      <c r="GL9" s="192">
        <f>SUM(EV9:GI10)</f>
        <v>0</v>
      </c>
    </row>
    <row r="10" spans="2:194" ht="16.8" customHeight="1" thickBot="1" x14ac:dyDescent="0.35">
      <c r="B10" s="8" t="s">
        <v>24</v>
      </c>
      <c r="C10" s="64" t="s">
        <v>181</v>
      </c>
      <c r="D10" s="64" t="s">
        <v>64</v>
      </c>
      <c r="E10" s="64" t="s">
        <v>446</v>
      </c>
      <c r="F10" s="71" t="s">
        <v>6</v>
      </c>
      <c r="G10" s="74" t="s">
        <v>9</v>
      </c>
      <c r="H10" s="72" t="s">
        <v>12</v>
      </c>
      <c r="I10" s="11">
        <f>SUM(BN11:DA11)</f>
        <v>0</v>
      </c>
      <c r="L10" s="64" t="s">
        <v>64</v>
      </c>
      <c r="M10" s="15"/>
      <c r="N10" s="5"/>
      <c r="O10" s="16"/>
      <c r="P10" s="15"/>
      <c r="Q10" s="5"/>
      <c r="R10" s="16"/>
      <c r="S10" s="15"/>
      <c r="T10" s="5"/>
      <c r="U10" s="16"/>
      <c r="V10" s="15"/>
      <c r="W10" s="5"/>
      <c r="X10" s="16"/>
      <c r="Y10" s="15"/>
      <c r="Z10" s="5"/>
      <c r="AA10" s="16"/>
      <c r="AB10" s="15"/>
      <c r="AC10" s="5"/>
      <c r="AD10" s="16"/>
      <c r="AE10" s="15"/>
      <c r="AF10" s="5"/>
      <c r="AG10" s="16"/>
      <c r="AH10" s="15"/>
      <c r="AI10" s="5"/>
      <c r="AJ10" s="16"/>
      <c r="AK10" s="15"/>
      <c r="AL10" s="5"/>
      <c r="AM10" s="16"/>
      <c r="AN10" s="15"/>
      <c r="AO10" s="5"/>
      <c r="AP10" s="16"/>
      <c r="AQ10" s="15"/>
      <c r="AR10" s="5"/>
      <c r="AS10" s="16"/>
      <c r="AT10" s="15"/>
      <c r="AU10" s="5"/>
      <c r="AV10" s="16"/>
      <c r="AW10" s="15"/>
      <c r="AX10" s="5"/>
      <c r="AY10" s="16"/>
      <c r="AZ10" s="11"/>
      <c r="BC10" s="8" t="s">
        <v>24</v>
      </c>
      <c r="BD10" s="36" t="s">
        <v>339</v>
      </c>
      <c r="BE10" s="11">
        <f t="shared" si="43"/>
        <v>0</v>
      </c>
      <c r="BH10" s="71" t="s">
        <v>125</v>
      </c>
      <c r="BI10" s="74" t="s">
        <v>125</v>
      </c>
      <c r="BJ10" s="72" t="s">
        <v>598</v>
      </c>
      <c r="BM10" s="64" t="s">
        <v>63</v>
      </c>
      <c r="BN10" s="46">
        <f>IF(M9 &lt;&gt; "", VLOOKUP(CONCATENATE("P", M9), pointsSystem, 2, FALSE), 0)</f>
        <v>0</v>
      </c>
      <c r="BO10" s="6">
        <f>IF(N9 &lt;&gt; "", VLOOKUP(CONCATENATE("P", N9), pointsSystem, 3, FALSE), 0)</f>
        <v>0</v>
      </c>
      <c r="BP10" s="47">
        <f>IF(O9 &lt;&gt; "", VLOOKUP(CONCATENATE("P", O9), pointsSystem, 4, FALSE), 0)</f>
        <v>0</v>
      </c>
      <c r="BQ10" s="46">
        <f>IF(P9 &lt;&gt; "", VLOOKUP(CONCATENATE("P", P9), pointsSystem, 2, FALSE), 0)</f>
        <v>0</v>
      </c>
      <c r="BR10" s="6">
        <f>IF(Q9 &lt;&gt; "", VLOOKUP(CONCATENATE("P", Q9), pointsSystem, 3, FALSE), 0)</f>
        <v>0</v>
      </c>
      <c r="BS10" s="47">
        <f>IF(R9 &lt;&gt; "", VLOOKUP(CONCATENATE("P", R9), pointsSystem, 4, FALSE), 0)</f>
        <v>0</v>
      </c>
      <c r="BT10" s="46">
        <f>IF(S9 &lt;&gt; "", VLOOKUP(CONCATENATE("P", S9), pointsSystem, 2, FALSE), 0)</f>
        <v>0</v>
      </c>
      <c r="BU10" s="6">
        <f>IF(T9 &lt;&gt; "", VLOOKUP(CONCATENATE("P", T9), pointsSystem, 3, FALSE), 0)</f>
        <v>0</v>
      </c>
      <c r="BV10" s="47">
        <f>IF(U9 &lt;&gt; "", VLOOKUP(CONCATENATE("P", U9), pointsSystem, 4, FALSE), 0)</f>
        <v>0</v>
      </c>
      <c r="BW10" s="46">
        <f>IF(V9 &lt;&gt; "", VLOOKUP(CONCATENATE("P", V9), pointsSystem, 2, FALSE), 0)</f>
        <v>0</v>
      </c>
      <c r="BX10" s="6">
        <f>IF(W9 &lt;&gt; "", VLOOKUP(CONCATENATE("P", W9), pointsSystem, 3, FALSE), 0)</f>
        <v>0</v>
      </c>
      <c r="BY10" s="47">
        <f>IF(X9 &lt;&gt; "", VLOOKUP(CONCATENATE("P", X9), pointsSystem, 4, FALSE), 0)</f>
        <v>0</v>
      </c>
      <c r="BZ10" s="46">
        <f>IF(Y9 &lt;&gt; "", VLOOKUP(CONCATENATE("P", Y9), pointsSystem, 2, FALSE), 0)</f>
        <v>0</v>
      </c>
      <c r="CA10" s="6">
        <f>IF(Z9 &lt;&gt; "", VLOOKUP(CONCATENATE("P", Z9), pointsSystem, 3, FALSE), 0)</f>
        <v>0</v>
      </c>
      <c r="CB10" s="47">
        <f>IF(AA9 &lt;&gt; "", VLOOKUP(CONCATENATE("P", AA9), pointsSystem, 4, FALSE), 0)</f>
        <v>0</v>
      </c>
      <c r="CC10" s="46">
        <f>IF(AB9 &lt;&gt; "", VLOOKUP(CONCATENATE("P", AB9), pointsSystem, 2, FALSE), 0)</f>
        <v>0</v>
      </c>
      <c r="CD10" s="6">
        <f>IF(AC9 &lt;&gt; "", VLOOKUP(CONCATENATE("P", AC9), pointsSystem, 3, FALSE), 0)</f>
        <v>0</v>
      </c>
      <c r="CE10" s="47">
        <f>IF(AD9 &lt;&gt; "", VLOOKUP(CONCATENATE("P", AD9), pointsSystem, 4, FALSE), 0)</f>
        <v>0</v>
      </c>
      <c r="CF10" s="46">
        <f>IF(AE9 &lt;&gt; "", VLOOKUP(CONCATENATE("P", AE9), pointsSystem, 2, FALSE), 0)</f>
        <v>0</v>
      </c>
      <c r="CG10" s="6">
        <f>IF(AF9 &lt;&gt; "", VLOOKUP(CONCATENATE("P", AF9), pointsSystem, 3, FALSE), 0)</f>
        <v>0</v>
      </c>
      <c r="CH10" s="47">
        <f>IF(AG9 &lt;&gt; "", VLOOKUP(CONCATENATE("P", AG9), pointsSystem, 4, FALSE), 0)</f>
        <v>0</v>
      </c>
      <c r="CI10" s="46">
        <f>IF(AH9 &lt;&gt; "", VLOOKUP(CONCATENATE("P", AH9), pointsSystem, 2, FALSE), 0)</f>
        <v>0</v>
      </c>
      <c r="CJ10" s="6">
        <f>IF(AI9 &lt;&gt; "", VLOOKUP(CONCATENATE("P", AI9), pointsSystem, 3, FALSE), 0)</f>
        <v>0</v>
      </c>
      <c r="CK10" s="47">
        <f>IF(AJ9 &lt;&gt; "", VLOOKUP(CONCATENATE("P", AJ9), pointsSystem, 4, FALSE), 0)</f>
        <v>0</v>
      </c>
      <c r="CL10" s="46">
        <f>IF(AK9 &lt;&gt; "", VLOOKUP(CONCATENATE("P", AK9), pointsSystem, 2, FALSE), 0)</f>
        <v>0</v>
      </c>
      <c r="CM10" s="6">
        <f>IF(AL9 &lt;&gt; "", VLOOKUP(CONCATENATE("P", AL9), pointsSystem, 3, FALSE), 0)</f>
        <v>0</v>
      </c>
      <c r="CN10" s="47">
        <f>IF(AM9 &lt;&gt; "", VLOOKUP(CONCATENATE("P", AM9), pointsSystem, 4, FALSE), 0)</f>
        <v>0</v>
      </c>
      <c r="CO10" s="46">
        <f>IF(AN9 &lt;&gt; "", VLOOKUP(CONCATENATE("P", AN9), pointsSystem, 2, FALSE), 0)</f>
        <v>0</v>
      </c>
      <c r="CP10" s="6">
        <f>IF(AO9 &lt;&gt; "", VLOOKUP(CONCATENATE("P", AO9), pointsSystem, 3, FALSE), 0)</f>
        <v>0</v>
      </c>
      <c r="CQ10" s="47">
        <f>IF(AP9 &lt;&gt; "", VLOOKUP(CONCATENATE("P", AP9), pointsSystem, 4, FALSE), 0)</f>
        <v>0</v>
      </c>
      <c r="CR10" s="46">
        <f>IF(AQ9 &lt;&gt; "", VLOOKUP(CONCATENATE("P", AQ9), pointsSystem, 2, FALSE), 0)</f>
        <v>0</v>
      </c>
      <c r="CS10" s="6">
        <f>IF(AR9 &lt;&gt; "", VLOOKUP(CONCATENATE("P", AR9), pointsSystem, 3, FALSE), 0)</f>
        <v>0</v>
      </c>
      <c r="CT10" s="47">
        <f>IF(AS9 &lt;&gt; "", VLOOKUP(CONCATENATE("P", AS9), pointsSystem, 4, FALSE), 0)</f>
        <v>0</v>
      </c>
      <c r="CU10" s="46">
        <f>IF(AT9 &lt;&gt; "", VLOOKUP(CONCATENATE("P", AT9), pointsSystem, 2, FALSE), 0)</f>
        <v>0</v>
      </c>
      <c r="CV10" s="6">
        <f>IF(AU9 &lt;&gt; "", VLOOKUP(CONCATENATE("P", AU9), pointsSystem, 3, FALSE), 0)</f>
        <v>0</v>
      </c>
      <c r="CW10" s="47">
        <f>IF(AV9 &lt;&gt; "", VLOOKUP(CONCATENATE("P", AV9), pointsSystem, 4, FALSE), 0)</f>
        <v>0</v>
      </c>
      <c r="CX10" s="46">
        <f>IF(AW9 &lt;&gt; "", VLOOKUP(CONCATENATE("P", AW9), pointsSystem, 2, FALSE), 0)</f>
        <v>0</v>
      </c>
      <c r="CY10" s="6">
        <f>IF(AX9 &lt;&gt; "", VLOOKUP(CONCATENATE("P", AX9), pointsSystem, 3, FALSE), 0)</f>
        <v>0</v>
      </c>
      <c r="CZ10" s="47">
        <f>IF(AY9 &lt;&gt; "", VLOOKUP(CONCATENATE("P", AY9), pointsSystem, 4, FALSE), 0)</f>
        <v>0</v>
      </c>
      <c r="DA10" s="48">
        <f>AZ9 * 1</f>
        <v>0</v>
      </c>
      <c r="DD10" s="36" t="s">
        <v>339</v>
      </c>
      <c r="DE10" s="15">
        <f>MAX(BN25:BN28) + LARGE(BN25:BN28, 2)</f>
        <v>0</v>
      </c>
      <c r="DF10" s="5">
        <f>MAX(BO25:BO28) + LARGE(BO25:BO28, 2)</f>
        <v>0</v>
      </c>
      <c r="DG10" s="16">
        <f>MAX(BP25:BP28) + LARGE(BP25:BP28, 2)</f>
        <v>0</v>
      </c>
      <c r="DH10" s="15">
        <f t="shared" ref="DH10:EQ10" si="91">MAX(BQ25:BQ28) + LARGE(BQ25:BQ28, 2)</f>
        <v>0</v>
      </c>
      <c r="DI10" s="5">
        <f t="shared" si="91"/>
        <v>0</v>
      </c>
      <c r="DJ10" s="16">
        <f t="shared" si="91"/>
        <v>0</v>
      </c>
      <c r="DK10" s="15">
        <f t="shared" si="91"/>
        <v>0</v>
      </c>
      <c r="DL10" s="5">
        <f t="shared" si="91"/>
        <v>0</v>
      </c>
      <c r="DM10" s="16">
        <f t="shared" si="91"/>
        <v>0</v>
      </c>
      <c r="DN10" s="15">
        <f t="shared" si="91"/>
        <v>0</v>
      </c>
      <c r="DO10" s="5">
        <f t="shared" si="91"/>
        <v>0</v>
      </c>
      <c r="DP10" s="16">
        <f t="shared" si="91"/>
        <v>0</v>
      </c>
      <c r="DQ10" s="15">
        <f t="shared" si="91"/>
        <v>0</v>
      </c>
      <c r="DR10" s="5">
        <f t="shared" si="91"/>
        <v>0</v>
      </c>
      <c r="DS10" s="16">
        <f t="shared" si="91"/>
        <v>0</v>
      </c>
      <c r="DT10" s="15">
        <f t="shared" si="91"/>
        <v>0</v>
      </c>
      <c r="DU10" s="5">
        <f t="shared" si="91"/>
        <v>0</v>
      </c>
      <c r="DV10" s="16">
        <f t="shared" si="91"/>
        <v>0</v>
      </c>
      <c r="DW10" s="15">
        <f t="shared" si="91"/>
        <v>0</v>
      </c>
      <c r="DX10" s="5">
        <f t="shared" si="91"/>
        <v>0</v>
      </c>
      <c r="DY10" s="16">
        <f t="shared" si="91"/>
        <v>0</v>
      </c>
      <c r="DZ10" s="15">
        <f t="shared" si="91"/>
        <v>0</v>
      </c>
      <c r="EA10" s="5">
        <f t="shared" si="91"/>
        <v>0</v>
      </c>
      <c r="EB10" s="16">
        <f t="shared" si="91"/>
        <v>0</v>
      </c>
      <c r="EC10" s="15">
        <f t="shared" si="91"/>
        <v>0</v>
      </c>
      <c r="ED10" s="5">
        <f t="shared" si="91"/>
        <v>0</v>
      </c>
      <c r="EE10" s="16">
        <f t="shared" si="91"/>
        <v>0</v>
      </c>
      <c r="EF10" s="15">
        <f t="shared" si="91"/>
        <v>0</v>
      </c>
      <c r="EG10" s="5">
        <f t="shared" si="91"/>
        <v>0</v>
      </c>
      <c r="EH10" s="16">
        <f t="shared" si="91"/>
        <v>0</v>
      </c>
      <c r="EI10" s="15">
        <f t="shared" si="91"/>
        <v>0</v>
      </c>
      <c r="EJ10" s="5">
        <f t="shared" si="91"/>
        <v>0</v>
      </c>
      <c r="EK10" s="16">
        <f t="shared" si="91"/>
        <v>0</v>
      </c>
      <c r="EL10" s="15">
        <f t="shared" si="91"/>
        <v>0</v>
      </c>
      <c r="EM10" s="5">
        <f t="shared" si="91"/>
        <v>0</v>
      </c>
      <c r="EN10" s="16">
        <f t="shared" si="91"/>
        <v>0</v>
      </c>
      <c r="EO10" s="15">
        <f t="shared" si="91"/>
        <v>0</v>
      </c>
      <c r="EP10" s="5">
        <f t="shared" si="91"/>
        <v>0</v>
      </c>
      <c r="EQ10" s="16">
        <f t="shared" si="91"/>
        <v>0</v>
      </c>
      <c r="ER10" s="11">
        <f>SUM(DA25:DA28)</f>
        <v>0</v>
      </c>
      <c r="EU10" s="242"/>
      <c r="EV10" s="17">
        <f>LARGE((BN21:BN24, BN29:BN32, BN37:BN40), 2)</f>
        <v>0</v>
      </c>
      <c r="EW10" s="31">
        <f>LARGE((BO21:BO24, BO29:BO32, BO37:BO40), 2)</f>
        <v>0</v>
      </c>
      <c r="EX10" s="18">
        <f>LARGE((BP21:BP24, BP29:BP32, BP37:BP40), 2)</f>
        <v>0</v>
      </c>
      <c r="EY10" s="17">
        <f>LARGE((BQ21:BQ24, BQ29:BQ32, BQ37:BQ40), 2)</f>
        <v>0</v>
      </c>
      <c r="EZ10" s="31">
        <f>LARGE((BR21:BR24, BR29:BR32, BR37:BR40), 2)</f>
        <v>0</v>
      </c>
      <c r="FA10" s="18">
        <f>LARGE((BS21:BS24, BS29:BS32, BS37:BS40), 2)</f>
        <v>0</v>
      </c>
      <c r="FB10" s="17">
        <f>LARGE((BT21:BT24, BT29:BT32, BT37:BT40), 2)</f>
        <v>0</v>
      </c>
      <c r="FC10" s="31">
        <f>LARGE((BU21:BU24, BU29:BU32, BU37:BU40), 2)</f>
        <v>0</v>
      </c>
      <c r="FD10" s="18">
        <f>LARGE((BV21:BV24, BV29:BV32, BV37:BV40), 2)</f>
        <v>0</v>
      </c>
      <c r="FE10" s="17">
        <f>LARGE((BW21:BW24, BW29:BW32, BW37:BW40), 2)</f>
        <v>0</v>
      </c>
      <c r="FF10" s="31">
        <f>LARGE((BX21:BX24, BX29:BX32, BX37:BX40), 2)</f>
        <v>0</v>
      </c>
      <c r="FG10" s="18">
        <f>LARGE((BY21:BY24, BY29:BY32, BY37:BY40), 2)</f>
        <v>0</v>
      </c>
      <c r="FH10" s="17">
        <f>LARGE((BZ21:BZ24, BZ29:BZ32, BZ37:BZ40), 2)</f>
        <v>0</v>
      </c>
      <c r="FI10" s="31">
        <f>LARGE((CA21:CA24, CA29:CA32, CA37:CA40), 2)</f>
        <v>0</v>
      </c>
      <c r="FJ10" s="18">
        <f>LARGE((CB21:CB24, CB29:CB32, CB37:CB40), 2)</f>
        <v>0</v>
      </c>
      <c r="FK10" s="17">
        <f>LARGE((CC21:CC24, CC29:CC32, CC37:CC40), 2)</f>
        <v>0</v>
      </c>
      <c r="FL10" s="31">
        <f>LARGE((CD21:CD24, CD29:CD32, CD37:CD40), 2)</f>
        <v>0</v>
      </c>
      <c r="FM10" s="18">
        <f>LARGE((CE21:CE24, CE29:CE32, CE37:CE40), 2)</f>
        <v>0</v>
      </c>
      <c r="FN10" s="17">
        <f>LARGE((CF21:CF24, CF29:CF32, CF37:CF40), 2)</f>
        <v>0</v>
      </c>
      <c r="FO10" s="31">
        <f>LARGE((CG21:CG24, CG29:CG32, CG37:CG40), 2)</f>
        <v>0</v>
      </c>
      <c r="FP10" s="18">
        <f>LARGE((CH21:CH24, CH29:CH32, CH37:CH40), 2)</f>
        <v>0</v>
      </c>
      <c r="FQ10" s="86">
        <f>LARGE((CI21:CI24, CI29:CI32, CI37:CI40), 2)</f>
        <v>0</v>
      </c>
      <c r="FR10" s="31">
        <f>LARGE((CJ21:CJ24, CJ29:CJ32, CJ37:CJ40), 2)</f>
        <v>0</v>
      </c>
      <c r="FS10" s="50">
        <f>LARGE((CK21:CK24, CK29:CK32, CK37:CK40), 2)</f>
        <v>0</v>
      </c>
      <c r="FT10" s="17">
        <f>LARGE((CL21:CL24, CL29:CL32, CL37:CL40), 2)</f>
        <v>0</v>
      </c>
      <c r="FU10" s="31">
        <f>LARGE((CM21:CM24, CM29:CM32, CM37:CM40), 2)</f>
        <v>0</v>
      </c>
      <c r="FV10" s="18">
        <f>LARGE((CN21:CN24, CN29:CN32, CN37:CN40), 2)</f>
        <v>0</v>
      </c>
      <c r="FW10" s="17">
        <f>LARGE((CO21:CO24, CO29:CO32, CO37:CO40), 2)</f>
        <v>0</v>
      </c>
      <c r="FX10" s="31">
        <f>LARGE((CP21:CP24, CP29:CP32, CP37:CP40), 2)</f>
        <v>0</v>
      </c>
      <c r="FY10" s="18">
        <f>LARGE((CQ21:CQ24, CQ29:CQ32, CQ37:CQ40), 2)</f>
        <v>0</v>
      </c>
      <c r="FZ10" s="17">
        <f>LARGE((CR21:CR24, CR29:CR32, CR37:CR40), 2)</f>
        <v>0</v>
      </c>
      <c r="GA10" s="31">
        <f>LARGE((CS21:CS24, CS29:CS32, CS37:CS40), 2)</f>
        <v>0</v>
      </c>
      <c r="GB10" s="18">
        <f>LARGE((CT21:CT24, CT29:CT32, CT37:CT40), 2)</f>
        <v>0</v>
      </c>
      <c r="GC10" s="17">
        <f>LARGE((CU21:CU24, CU29:CU32, CU37:CU40), 2)</f>
        <v>0</v>
      </c>
      <c r="GD10" s="31">
        <f>LARGE((CV21:CV24, CV29:CV32, CV37:CV40), 2)</f>
        <v>0</v>
      </c>
      <c r="GE10" s="18">
        <f>LARGE((CW21:CW24, CW29:CW32, CW37:CW40), 2)</f>
        <v>0</v>
      </c>
      <c r="GF10" s="17">
        <f>LARGE((CX21:CX24, CX29:CX32, CX37:CX40), 2)</f>
        <v>0</v>
      </c>
      <c r="GG10" s="31">
        <f>LARGE((CY21:CY24, CY29:CY32, CY37:CY40), 2)</f>
        <v>0</v>
      </c>
      <c r="GH10" s="18">
        <f>LARGE((CZ21:CZ24, CZ29:CZ32, CZ37:CZ40), 2)</f>
        <v>0</v>
      </c>
      <c r="GI10" s="227"/>
      <c r="GL10" s="192"/>
    </row>
    <row r="11" spans="2:194" ht="16.8" customHeight="1" thickBot="1" x14ac:dyDescent="0.35">
      <c r="B11" s="8" t="s">
        <v>25</v>
      </c>
      <c r="C11" s="35" t="s">
        <v>236</v>
      </c>
      <c r="D11" s="35" t="s">
        <v>65</v>
      </c>
      <c r="E11" s="35" t="s">
        <v>308</v>
      </c>
      <c r="F11" s="70" t="s">
        <v>34</v>
      </c>
      <c r="G11" s="75" t="s">
        <v>8</v>
      </c>
      <c r="H11" s="67" t="s">
        <v>13</v>
      </c>
      <c r="I11" s="11">
        <f>SUM(BN13:DA13)</f>
        <v>0</v>
      </c>
      <c r="L11" s="35" t="s">
        <v>65</v>
      </c>
      <c r="M11" s="15"/>
      <c r="N11" s="5"/>
      <c r="O11" s="16"/>
      <c r="P11" s="15"/>
      <c r="Q11" s="5"/>
      <c r="R11" s="16"/>
      <c r="S11" s="15"/>
      <c r="T11" s="5"/>
      <c r="U11" s="16"/>
      <c r="V11" s="15"/>
      <c r="W11" s="5"/>
      <c r="X11" s="16"/>
      <c r="Y11" s="15"/>
      <c r="Z11" s="5"/>
      <c r="AA11" s="16"/>
      <c r="AB11" s="15"/>
      <c r="AC11" s="5"/>
      <c r="AD11" s="16"/>
      <c r="AE11" s="15"/>
      <c r="AF11" s="5"/>
      <c r="AG11" s="16"/>
      <c r="AH11" s="15"/>
      <c r="AI11" s="5"/>
      <c r="AJ11" s="16"/>
      <c r="AK11" s="15"/>
      <c r="AL11" s="5"/>
      <c r="AM11" s="16"/>
      <c r="AN11" s="15"/>
      <c r="AO11" s="5"/>
      <c r="AP11" s="16"/>
      <c r="AQ11" s="15"/>
      <c r="AR11" s="5"/>
      <c r="AS11" s="16"/>
      <c r="AT11" s="15"/>
      <c r="AU11" s="5"/>
      <c r="AV11" s="16"/>
      <c r="AW11" s="15"/>
      <c r="AX11" s="5"/>
      <c r="AY11" s="16"/>
      <c r="AZ11" s="11"/>
      <c r="BC11" s="8" t="s">
        <v>25</v>
      </c>
      <c r="BD11" s="41" t="s">
        <v>554</v>
      </c>
      <c r="BE11" s="11">
        <f t="shared" si="43"/>
        <v>0</v>
      </c>
      <c r="BH11" s="71" t="s">
        <v>125</v>
      </c>
      <c r="BI11" s="74" t="s">
        <v>125</v>
      </c>
      <c r="BJ11" s="72" t="s">
        <v>598</v>
      </c>
      <c r="BM11" s="64" t="s">
        <v>64</v>
      </c>
      <c r="BN11" s="46">
        <f>IF(M10 &lt;&gt; "", VLOOKUP(CONCATENATE("P", M10), pointsSystem, 2, FALSE), 0)</f>
        <v>0</v>
      </c>
      <c r="BO11" s="6">
        <f>IF(N10 &lt;&gt; "", VLOOKUP(CONCATENATE("P", N10), pointsSystem, 3, FALSE), 0)</f>
        <v>0</v>
      </c>
      <c r="BP11" s="47">
        <f>IF(O10 &lt;&gt; "", VLOOKUP(CONCATENATE("P", O10), pointsSystem, 4, FALSE), 0)</f>
        <v>0</v>
      </c>
      <c r="BQ11" s="46">
        <f>IF(P10 &lt;&gt; "", VLOOKUP(CONCATENATE("P", P10), pointsSystem, 2, FALSE), 0)</f>
        <v>0</v>
      </c>
      <c r="BR11" s="6">
        <f>IF(Q10 &lt;&gt; "", VLOOKUP(CONCATENATE("P", Q10), pointsSystem, 3, FALSE), 0)</f>
        <v>0</v>
      </c>
      <c r="BS11" s="47">
        <f>IF(R10 &lt;&gt; "", VLOOKUP(CONCATENATE("P", R10), pointsSystem, 4, FALSE), 0)</f>
        <v>0</v>
      </c>
      <c r="BT11" s="46">
        <f>IF(S10 &lt;&gt; "", VLOOKUP(CONCATENATE("P", S10), pointsSystem, 2, FALSE), 0)</f>
        <v>0</v>
      </c>
      <c r="BU11" s="6">
        <f>IF(T10 &lt;&gt; "", VLOOKUP(CONCATENATE("P", T10), pointsSystem, 3, FALSE), 0)</f>
        <v>0</v>
      </c>
      <c r="BV11" s="47">
        <f>IF(U10 &lt;&gt; "", VLOOKUP(CONCATENATE("P", U10), pointsSystem, 4, FALSE), 0)</f>
        <v>0</v>
      </c>
      <c r="BW11" s="46">
        <f>IF(V10 &lt;&gt; "", VLOOKUP(CONCATENATE("P", V10), pointsSystem, 2, FALSE), 0)</f>
        <v>0</v>
      </c>
      <c r="BX11" s="6">
        <f>IF(W10 &lt;&gt; "", VLOOKUP(CONCATENATE("P", W10), pointsSystem, 3, FALSE), 0)</f>
        <v>0</v>
      </c>
      <c r="BY11" s="47">
        <f>IF(X10 &lt;&gt; "", VLOOKUP(CONCATENATE("P", X10), pointsSystem, 4, FALSE), 0)</f>
        <v>0</v>
      </c>
      <c r="BZ11" s="46">
        <f>IF(Y10 &lt;&gt; "", VLOOKUP(CONCATENATE("P", Y10), pointsSystem, 2, FALSE), 0)</f>
        <v>0</v>
      </c>
      <c r="CA11" s="6">
        <f>IF(Z10 &lt;&gt; "", VLOOKUP(CONCATENATE("P", Z10), pointsSystem, 3, FALSE), 0)</f>
        <v>0</v>
      </c>
      <c r="CB11" s="47">
        <f>IF(AA10 &lt;&gt; "", VLOOKUP(CONCATENATE("P", AA10), pointsSystem, 4, FALSE), 0)</f>
        <v>0</v>
      </c>
      <c r="CC11" s="46">
        <f>IF(AB10 &lt;&gt; "", VLOOKUP(CONCATENATE("P", AB10), pointsSystem, 2, FALSE), 0)</f>
        <v>0</v>
      </c>
      <c r="CD11" s="6">
        <f>IF(AC10 &lt;&gt; "", VLOOKUP(CONCATENATE("P", AC10), pointsSystem, 3, FALSE), 0)</f>
        <v>0</v>
      </c>
      <c r="CE11" s="47">
        <f>IF(AD10 &lt;&gt; "", VLOOKUP(CONCATENATE("P", AD10), pointsSystem, 4, FALSE), 0)</f>
        <v>0</v>
      </c>
      <c r="CF11" s="46">
        <f>IF(AE10 &lt;&gt; "", VLOOKUP(CONCATENATE("P", AE10), pointsSystem, 2, FALSE), 0)</f>
        <v>0</v>
      </c>
      <c r="CG11" s="6">
        <f>IF(AF10 &lt;&gt; "", VLOOKUP(CONCATENATE("P", AF10), pointsSystem, 3, FALSE), 0)</f>
        <v>0</v>
      </c>
      <c r="CH11" s="47">
        <f>IF(AG10 &lt;&gt; "", VLOOKUP(CONCATENATE("P", AG10), pointsSystem, 4, FALSE), 0)</f>
        <v>0</v>
      </c>
      <c r="CI11" s="46">
        <f>IF(AH10 &lt;&gt; "", VLOOKUP(CONCATENATE("P", AH10), pointsSystem, 2, FALSE), 0)</f>
        <v>0</v>
      </c>
      <c r="CJ11" s="6">
        <f>IF(AI10 &lt;&gt; "", VLOOKUP(CONCATENATE("P", AI10), pointsSystem, 3, FALSE), 0)</f>
        <v>0</v>
      </c>
      <c r="CK11" s="47">
        <f>IF(AJ10 &lt;&gt; "", VLOOKUP(CONCATENATE("P", AJ10), pointsSystem, 4, FALSE), 0)</f>
        <v>0</v>
      </c>
      <c r="CL11" s="46">
        <f>IF(AK10 &lt;&gt; "", VLOOKUP(CONCATENATE("P", AK10), pointsSystem, 2, FALSE), 0)</f>
        <v>0</v>
      </c>
      <c r="CM11" s="6">
        <f>IF(AL10 &lt;&gt; "", VLOOKUP(CONCATENATE("P", AL10), pointsSystem, 3, FALSE), 0)</f>
        <v>0</v>
      </c>
      <c r="CN11" s="47">
        <f>IF(AM10 &lt;&gt; "", VLOOKUP(CONCATENATE("P", AM10), pointsSystem, 4, FALSE), 0)</f>
        <v>0</v>
      </c>
      <c r="CO11" s="46">
        <f>IF(AN10 &lt;&gt; "", VLOOKUP(CONCATENATE("P", AN10), pointsSystem, 2, FALSE), 0)</f>
        <v>0</v>
      </c>
      <c r="CP11" s="6">
        <f>IF(AO10 &lt;&gt; "", VLOOKUP(CONCATENATE("P", AO10), pointsSystem, 3, FALSE), 0)</f>
        <v>0</v>
      </c>
      <c r="CQ11" s="47">
        <f>IF(AP10 &lt;&gt; "", VLOOKUP(CONCATENATE("P", AP10), pointsSystem, 4, FALSE), 0)</f>
        <v>0</v>
      </c>
      <c r="CR11" s="46">
        <f>IF(AQ10 &lt;&gt; "", VLOOKUP(CONCATENATE("P", AQ10), pointsSystem, 2, FALSE), 0)</f>
        <v>0</v>
      </c>
      <c r="CS11" s="6">
        <f>IF(AR10 &lt;&gt; "", VLOOKUP(CONCATENATE("P", AR10), pointsSystem, 3, FALSE), 0)</f>
        <v>0</v>
      </c>
      <c r="CT11" s="47">
        <f>IF(AS10 &lt;&gt; "", VLOOKUP(CONCATENATE("P", AS10), pointsSystem, 4, FALSE), 0)</f>
        <v>0</v>
      </c>
      <c r="CU11" s="46">
        <f>IF(AT10 &lt;&gt; "", VLOOKUP(CONCATENATE("P", AT10), pointsSystem, 2, FALSE), 0)</f>
        <v>0</v>
      </c>
      <c r="CV11" s="6">
        <f>IF(AU10 &lt;&gt; "", VLOOKUP(CONCATENATE("P", AU10), pointsSystem, 3, FALSE), 0)</f>
        <v>0</v>
      </c>
      <c r="CW11" s="47">
        <f>IF(AV10 &lt;&gt; "", VLOOKUP(CONCATENATE("P", AV10), pointsSystem, 4, FALSE), 0)</f>
        <v>0</v>
      </c>
      <c r="CX11" s="46">
        <f>IF(AW10 &lt;&gt; "", VLOOKUP(CONCATENATE("P", AW10), pointsSystem, 2, FALSE), 0)</f>
        <v>0</v>
      </c>
      <c r="CY11" s="6">
        <f>IF(AX10 &lt;&gt; "", VLOOKUP(CONCATENATE("P", AX10), pointsSystem, 3, FALSE), 0)</f>
        <v>0</v>
      </c>
      <c r="CZ11" s="47">
        <f>IF(AY10 &lt;&gt; "", VLOOKUP(CONCATENATE("P", AY10), pointsSystem, 4, FALSE), 0)</f>
        <v>0</v>
      </c>
      <c r="DA11" s="48">
        <f>AZ10 * 1</f>
        <v>0</v>
      </c>
      <c r="DD11" s="41" t="s">
        <v>554</v>
      </c>
      <c r="DE11" s="15">
        <f>MAX(BN29:BN32) + LARGE(BN29:BN32, 2)</f>
        <v>0</v>
      </c>
      <c r="DF11" s="5">
        <f>MAX(BO29:BO32) + LARGE(BO29:BO32, 2)</f>
        <v>0</v>
      </c>
      <c r="DG11" s="16">
        <f>MAX(BP29:BP32) + LARGE(BP29:BP32, 2)</f>
        <v>0</v>
      </c>
      <c r="DH11" s="15">
        <f t="shared" ref="DH11:EQ11" si="92">MAX(BQ29:BQ32) + LARGE(BQ29:BQ32, 2)</f>
        <v>0</v>
      </c>
      <c r="DI11" s="5">
        <f t="shared" si="92"/>
        <v>0</v>
      </c>
      <c r="DJ11" s="16">
        <f t="shared" si="92"/>
        <v>0</v>
      </c>
      <c r="DK11" s="15">
        <f t="shared" si="92"/>
        <v>0</v>
      </c>
      <c r="DL11" s="5">
        <f t="shared" si="92"/>
        <v>0</v>
      </c>
      <c r="DM11" s="16">
        <f t="shared" si="92"/>
        <v>0</v>
      </c>
      <c r="DN11" s="15">
        <f t="shared" si="92"/>
        <v>0</v>
      </c>
      <c r="DO11" s="5">
        <f t="shared" si="92"/>
        <v>0</v>
      </c>
      <c r="DP11" s="16">
        <f t="shared" si="92"/>
        <v>0</v>
      </c>
      <c r="DQ11" s="15">
        <f t="shared" si="92"/>
        <v>0</v>
      </c>
      <c r="DR11" s="5">
        <f t="shared" si="92"/>
        <v>0</v>
      </c>
      <c r="DS11" s="16">
        <f t="shared" si="92"/>
        <v>0</v>
      </c>
      <c r="DT11" s="15">
        <f t="shared" si="92"/>
        <v>0</v>
      </c>
      <c r="DU11" s="5">
        <f t="shared" si="92"/>
        <v>0</v>
      </c>
      <c r="DV11" s="16">
        <f t="shared" si="92"/>
        <v>0</v>
      </c>
      <c r="DW11" s="15">
        <f t="shared" si="92"/>
        <v>0</v>
      </c>
      <c r="DX11" s="5">
        <f t="shared" si="92"/>
        <v>0</v>
      </c>
      <c r="DY11" s="16">
        <f t="shared" si="92"/>
        <v>0</v>
      </c>
      <c r="DZ11" s="15">
        <f t="shared" si="92"/>
        <v>0</v>
      </c>
      <c r="EA11" s="5">
        <f t="shared" si="92"/>
        <v>0</v>
      </c>
      <c r="EB11" s="16">
        <f t="shared" si="92"/>
        <v>0</v>
      </c>
      <c r="EC11" s="15">
        <f t="shared" si="92"/>
        <v>0</v>
      </c>
      <c r="ED11" s="5">
        <f t="shared" si="92"/>
        <v>0</v>
      </c>
      <c r="EE11" s="16">
        <f t="shared" si="92"/>
        <v>0</v>
      </c>
      <c r="EF11" s="15">
        <f t="shared" si="92"/>
        <v>0</v>
      </c>
      <c r="EG11" s="5">
        <f t="shared" si="92"/>
        <v>0</v>
      </c>
      <c r="EH11" s="16">
        <f t="shared" si="92"/>
        <v>0</v>
      </c>
      <c r="EI11" s="15">
        <f t="shared" si="92"/>
        <v>0</v>
      </c>
      <c r="EJ11" s="5">
        <f t="shared" si="92"/>
        <v>0</v>
      </c>
      <c r="EK11" s="16">
        <f t="shared" si="92"/>
        <v>0</v>
      </c>
      <c r="EL11" s="15">
        <f t="shared" si="92"/>
        <v>0</v>
      </c>
      <c r="EM11" s="5">
        <f t="shared" si="92"/>
        <v>0</v>
      </c>
      <c r="EN11" s="16">
        <f t="shared" si="92"/>
        <v>0</v>
      </c>
      <c r="EO11" s="15">
        <f t="shared" si="92"/>
        <v>0</v>
      </c>
      <c r="EP11" s="5">
        <f t="shared" si="92"/>
        <v>0</v>
      </c>
      <c r="EQ11" s="16">
        <f t="shared" si="92"/>
        <v>0</v>
      </c>
      <c r="ER11" s="11">
        <f>SUM(DA29:DA32)</f>
        <v>0</v>
      </c>
      <c r="EU11" s="243" t="s">
        <v>6</v>
      </c>
      <c r="EV11" s="13">
        <f>MAX(BN9:BN12, BN17:BN20, BN25:BN28)</f>
        <v>0</v>
      </c>
      <c r="EW11" s="30">
        <f t="shared" ref="EW11:GG11" si="93">MAX(BO9:BO12, BO17:BO20, BO25:BO28)</f>
        <v>0</v>
      </c>
      <c r="EX11" s="14">
        <f t="shared" si="93"/>
        <v>0</v>
      </c>
      <c r="EY11" s="13">
        <f t="shared" si="93"/>
        <v>0</v>
      </c>
      <c r="EZ11" s="30">
        <f t="shared" si="93"/>
        <v>0</v>
      </c>
      <c r="FA11" s="14">
        <f t="shared" si="93"/>
        <v>0</v>
      </c>
      <c r="FB11" s="13">
        <f t="shared" si="93"/>
        <v>0</v>
      </c>
      <c r="FC11" s="30">
        <f t="shared" si="93"/>
        <v>0</v>
      </c>
      <c r="FD11" s="14">
        <f t="shared" si="93"/>
        <v>0</v>
      </c>
      <c r="FE11" s="13">
        <f t="shared" si="93"/>
        <v>0</v>
      </c>
      <c r="FF11" s="30">
        <f t="shared" si="93"/>
        <v>0</v>
      </c>
      <c r="FG11" s="14">
        <f t="shared" si="93"/>
        <v>0</v>
      </c>
      <c r="FH11" s="13">
        <f t="shared" si="93"/>
        <v>0</v>
      </c>
      <c r="FI11" s="30">
        <f t="shared" si="93"/>
        <v>0</v>
      </c>
      <c r="FJ11" s="14">
        <f t="shared" si="93"/>
        <v>0</v>
      </c>
      <c r="FK11" s="13">
        <f t="shared" si="93"/>
        <v>0</v>
      </c>
      <c r="FL11" s="30">
        <f t="shared" si="93"/>
        <v>0</v>
      </c>
      <c r="FM11" s="14">
        <f t="shared" si="93"/>
        <v>0</v>
      </c>
      <c r="FN11" s="13">
        <f t="shared" si="93"/>
        <v>0</v>
      </c>
      <c r="FO11" s="30">
        <f t="shared" si="93"/>
        <v>0</v>
      </c>
      <c r="FP11" s="14">
        <f t="shared" si="93"/>
        <v>0</v>
      </c>
      <c r="FQ11" s="85">
        <f t="shared" si="93"/>
        <v>0</v>
      </c>
      <c r="FR11" s="30">
        <f t="shared" si="93"/>
        <v>0</v>
      </c>
      <c r="FS11" s="49">
        <f t="shared" si="93"/>
        <v>0</v>
      </c>
      <c r="FT11" s="13">
        <f t="shared" si="93"/>
        <v>0</v>
      </c>
      <c r="FU11" s="30">
        <f t="shared" si="93"/>
        <v>0</v>
      </c>
      <c r="FV11" s="14">
        <f t="shared" si="93"/>
        <v>0</v>
      </c>
      <c r="FW11" s="13">
        <f t="shared" si="93"/>
        <v>0</v>
      </c>
      <c r="FX11" s="30">
        <f t="shared" si="93"/>
        <v>0</v>
      </c>
      <c r="FY11" s="14">
        <f t="shared" si="93"/>
        <v>0</v>
      </c>
      <c r="FZ11" s="13">
        <f t="shared" si="93"/>
        <v>0</v>
      </c>
      <c r="GA11" s="30">
        <f t="shared" si="93"/>
        <v>0</v>
      </c>
      <c r="GB11" s="14">
        <f t="shared" si="93"/>
        <v>0</v>
      </c>
      <c r="GC11" s="13">
        <f t="shared" si="93"/>
        <v>0</v>
      </c>
      <c r="GD11" s="30">
        <f t="shared" si="93"/>
        <v>0</v>
      </c>
      <c r="GE11" s="14">
        <f t="shared" si="93"/>
        <v>0</v>
      </c>
      <c r="GF11" s="13">
        <f t="shared" si="93"/>
        <v>0</v>
      </c>
      <c r="GG11" s="30">
        <f t="shared" si="93"/>
        <v>0</v>
      </c>
      <c r="GH11" s="14">
        <f>MAX(CZ9:CZ12, CZ17:CZ20, CZ25:CZ28)</f>
        <v>0</v>
      </c>
      <c r="GI11" s="226">
        <f>SUM(DA9:DA12, DA17:DA20, DA25:DA28)</f>
        <v>0</v>
      </c>
      <c r="GL11" s="192">
        <f>SUM(EV11:GI12)</f>
        <v>0</v>
      </c>
    </row>
    <row r="12" spans="2:194" ht="16.8" customHeight="1" thickBot="1" x14ac:dyDescent="0.35">
      <c r="B12" s="8" t="s">
        <v>26</v>
      </c>
      <c r="C12" s="35" t="s">
        <v>299</v>
      </c>
      <c r="D12" s="35" t="s">
        <v>66</v>
      </c>
      <c r="E12" s="35" t="s">
        <v>308</v>
      </c>
      <c r="F12" s="70" t="s">
        <v>34</v>
      </c>
      <c r="G12" s="75" t="s">
        <v>8</v>
      </c>
      <c r="H12" s="67" t="s">
        <v>13</v>
      </c>
      <c r="I12" s="11">
        <f>SUM(BN14:DA14)</f>
        <v>0</v>
      </c>
      <c r="L12" s="35" t="s">
        <v>66</v>
      </c>
      <c r="M12" s="15"/>
      <c r="N12" s="5"/>
      <c r="O12" s="16"/>
      <c r="P12" s="15"/>
      <c r="Q12" s="5"/>
      <c r="R12" s="16"/>
      <c r="S12" s="15"/>
      <c r="T12" s="5"/>
      <c r="U12" s="16"/>
      <c r="V12" s="15"/>
      <c r="W12" s="5"/>
      <c r="X12" s="16"/>
      <c r="Y12" s="15"/>
      <c r="Z12" s="5"/>
      <c r="AA12" s="16"/>
      <c r="AB12" s="15"/>
      <c r="AC12" s="5"/>
      <c r="AD12" s="16"/>
      <c r="AE12" s="15"/>
      <c r="AF12" s="5"/>
      <c r="AG12" s="16"/>
      <c r="AH12" s="15"/>
      <c r="AI12" s="5"/>
      <c r="AJ12" s="16"/>
      <c r="AK12" s="15"/>
      <c r="AL12" s="5"/>
      <c r="AM12" s="16"/>
      <c r="AN12" s="15"/>
      <c r="AO12" s="5"/>
      <c r="AP12" s="16"/>
      <c r="AQ12" s="15"/>
      <c r="AR12" s="5"/>
      <c r="AS12" s="16"/>
      <c r="AT12" s="15"/>
      <c r="AU12" s="5"/>
      <c r="AV12" s="16"/>
      <c r="AW12" s="15"/>
      <c r="AX12" s="5"/>
      <c r="AY12" s="16"/>
      <c r="AZ12" s="11"/>
      <c r="BC12" s="8" t="s">
        <v>26</v>
      </c>
      <c r="BD12" s="43" t="s">
        <v>437</v>
      </c>
      <c r="BE12" s="11">
        <f t="shared" si="43"/>
        <v>0</v>
      </c>
      <c r="BH12" s="71" t="s">
        <v>125</v>
      </c>
      <c r="BI12" s="74" t="s">
        <v>125</v>
      </c>
      <c r="BJ12" s="72" t="s">
        <v>598</v>
      </c>
      <c r="BM12" s="64" t="s">
        <v>340</v>
      </c>
      <c r="BN12" s="46">
        <f>IF(M38 &lt;&gt; "", VLOOKUP(CONCATENATE("P", M38), pointsSystem, 2, FALSE), 0)</f>
        <v>0</v>
      </c>
      <c r="BO12" s="6">
        <f>IF(N38 &lt;&gt; "", VLOOKUP(CONCATENATE("P", N38), pointsSystem, 3, FALSE), 0)</f>
        <v>0</v>
      </c>
      <c r="BP12" s="47">
        <f>IF(O38 &lt;&gt; "", VLOOKUP(CONCATENATE("P", O38), pointsSystem, 4, FALSE), 0)</f>
        <v>0</v>
      </c>
      <c r="BQ12" s="46">
        <f>IF(P38 &lt;&gt; "", VLOOKUP(CONCATENATE("P", P38), pointsSystem, 2, FALSE), 0)</f>
        <v>0</v>
      </c>
      <c r="BR12" s="6">
        <f>IF(Q38 &lt;&gt; "", VLOOKUP(CONCATENATE("P", Q38), pointsSystem, 3, FALSE), 0)</f>
        <v>0</v>
      </c>
      <c r="BS12" s="47">
        <f>IF(R38 &lt;&gt; "", VLOOKUP(CONCATENATE("P", R38), pointsSystem, 4, FALSE), 0)</f>
        <v>0</v>
      </c>
      <c r="BT12" s="46">
        <f>IF(S38 &lt;&gt; "", VLOOKUP(CONCATENATE("P", S38), pointsSystem, 2, FALSE), 0)</f>
        <v>0</v>
      </c>
      <c r="BU12" s="6">
        <f>IF(T38 &lt;&gt; "", VLOOKUP(CONCATENATE("P", T38), pointsSystem, 3, FALSE), 0)</f>
        <v>0</v>
      </c>
      <c r="BV12" s="47">
        <f>IF(U38 &lt;&gt; "", VLOOKUP(CONCATENATE("P", U38), pointsSystem, 4, FALSE), 0)</f>
        <v>0</v>
      </c>
      <c r="BW12" s="46">
        <f>IF(V38 &lt;&gt; "", VLOOKUP(CONCATENATE("P", V38), pointsSystem, 2, FALSE), 0)</f>
        <v>0</v>
      </c>
      <c r="BX12" s="6">
        <f>IF(W38 &lt;&gt; "", VLOOKUP(CONCATENATE("P", W38), pointsSystem, 3, FALSE), 0)</f>
        <v>0</v>
      </c>
      <c r="BY12" s="47">
        <f>IF(X38 &lt;&gt; "", VLOOKUP(CONCATENATE("P", X38), pointsSystem, 4, FALSE), 0)</f>
        <v>0</v>
      </c>
      <c r="BZ12" s="46">
        <f>IF(Y38 &lt;&gt; "", VLOOKUP(CONCATENATE("P", Y38), pointsSystem, 2, FALSE), 0)</f>
        <v>0</v>
      </c>
      <c r="CA12" s="6">
        <f>IF(Z38 &lt;&gt; "", VLOOKUP(CONCATENATE("P", Z38), pointsSystem, 3, FALSE), 0)</f>
        <v>0</v>
      </c>
      <c r="CB12" s="47">
        <f>IF(AA38 &lt;&gt; "", VLOOKUP(CONCATENATE("P", AA38), pointsSystem, 4, FALSE), 0)</f>
        <v>0</v>
      </c>
      <c r="CC12" s="46">
        <f>IF(AB38 &lt;&gt; "", VLOOKUP(CONCATENATE("P", AB38), pointsSystem, 2, FALSE), 0)</f>
        <v>0</v>
      </c>
      <c r="CD12" s="6">
        <f>IF(AC38 &lt;&gt; "", VLOOKUP(CONCATENATE("P", AC38), pointsSystem, 3, FALSE), 0)</f>
        <v>0</v>
      </c>
      <c r="CE12" s="47">
        <f>IF(AD38 &lt;&gt; "", VLOOKUP(CONCATENATE("P", AD38), pointsSystem, 4, FALSE), 0)</f>
        <v>0</v>
      </c>
      <c r="CF12" s="46">
        <f>IF(AE38 &lt;&gt; "", VLOOKUP(CONCATENATE("P", AE38), pointsSystem, 2, FALSE), 0)</f>
        <v>0</v>
      </c>
      <c r="CG12" s="6">
        <f>IF(AF38 &lt;&gt; "", VLOOKUP(CONCATENATE("P", AF38), pointsSystem, 3, FALSE), 0)</f>
        <v>0</v>
      </c>
      <c r="CH12" s="47">
        <f>IF(AG38 &lt;&gt; "", VLOOKUP(CONCATENATE("P", AG38), pointsSystem, 4, FALSE), 0)</f>
        <v>0</v>
      </c>
      <c r="CI12" s="46">
        <f>IF(AH38 &lt;&gt; "", VLOOKUP(CONCATENATE("P", AH38), pointsSystem, 2, FALSE), 0)</f>
        <v>0</v>
      </c>
      <c r="CJ12" s="6">
        <f>IF(AI38 &lt;&gt; "", VLOOKUP(CONCATENATE("P", AI38), pointsSystem, 3, FALSE), 0)</f>
        <v>0</v>
      </c>
      <c r="CK12" s="47">
        <f>IF(AJ38 &lt;&gt; "", VLOOKUP(CONCATENATE("P", AJ38), pointsSystem, 4, FALSE), 0)</f>
        <v>0</v>
      </c>
      <c r="CL12" s="46">
        <f>IF(AK38 &lt;&gt; "", VLOOKUP(CONCATENATE("P", AK38), pointsSystem, 2, FALSE), 0)</f>
        <v>0</v>
      </c>
      <c r="CM12" s="6">
        <f>IF(AL38 &lt;&gt; "", VLOOKUP(CONCATENATE("P", AL38), pointsSystem, 3, FALSE), 0)</f>
        <v>0</v>
      </c>
      <c r="CN12" s="47">
        <f>IF(AM38 &lt;&gt; "", VLOOKUP(CONCATENATE("P", AM38), pointsSystem, 4, FALSE), 0)</f>
        <v>0</v>
      </c>
      <c r="CO12" s="46">
        <f>IF(AN38 &lt;&gt; "", VLOOKUP(CONCATENATE("P", AN38), pointsSystem, 2, FALSE), 0)</f>
        <v>0</v>
      </c>
      <c r="CP12" s="6">
        <f>IF(AO38 &lt;&gt; "", VLOOKUP(CONCATENATE("P", AO38), pointsSystem, 3, FALSE), 0)</f>
        <v>0</v>
      </c>
      <c r="CQ12" s="47">
        <f>IF(AP38 &lt;&gt; "", VLOOKUP(CONCATENATE("P", AP38), pointsSystem, 4, FALSE), 0)</f>
        <v>0</v>
      </c>
      <c r="CR12" s="46">
        <f>IF(AQ38 &lt;&gt; "", VLOOKUP(CONCATENATE("P", AQ38), pointsSystem, 2, FALSE), 0)</f>
        <v>0</v>
      </c>
      <c r="CS12" s="6">
        <f>IF(AR38 &lt;&gt; "", VLOOKUP(CONCATENATE("P", AR38), pointsSystem, 3, FALSE), 0)</f>
        <v>0</v>
      </c>
      <c r="CT12" s="47">
        <f>IF(AS38 &lt;&gt; "", VLOOKUP(CONCATENATE("P", AS38), pointsSystem, 4, FALSE), 0)</f>
        <v>0</v>
      </c>
      <c r="CU12" s="46">
        <f>IF(AT38 &lt;&gt; "", VLOOKUP(CONCATENATE("P", AT38), pointsSystem, 2, FALSE), 0)</f>
        <v>0</v>
      </c>
      <c r="CV12" s="6">
        <f>IF(AU38 &lt;&gt; "", VLOOKUP(CONCATENATE("P", AU38), pointsSystem, 3, FALSE), 0)</f>
        <v>0</v>
      </c>
      <c r="CW12" s="47">
        <f>IF(AV38 &lt;&gt; "", VLOOKUP(CONCATENATE("P", AV38), pointsSystem, 4, FALSE), 0)</f>
        <v>0</v>
      </c>
      <c r="CX12" s="46">
        <f>IF(AW38 &lt;&gt; "", VLOOKUP(CONCATENATE("P", AW38), pointsSystem, 2, FALSE), 0)</f>
        <v>0</v>
      </c>
      <c r="CY12" s="6">
        <f>IF(AX38 &lt;&gt; "", VLOOKUP(CONCATENATE("P", AX38), pointsSystem, 3, FALSE), 0)</f>
        <v>0</v>
      </c>
      <c r="CZ12" s="47">
        <f>IF(AY38 &lt;&gt; "", VLOOKUP(CONCATENATE("P", AY38), pointsSystem, 4, FALSE), 0)</f>
        <v>0</v>
      </c>
      <c r="DA12" s="48">
        <f>AZ38 * 1</f>
        <v>0</v>
      </c>
      <c r="DD12" s="43" t="s">
        <v>437</v>
      </c>
      <c r="DE12" s="15">
        <f>MAX(BN33:BN36) + LARGE(BN33:BN36, 2)</f>
        <v>0</v>
      </c>
      <c r="DF12" s="5">
        <f>MAX(BO33:BO36) + LARGE(BO33:BO36, 2)</f>
        <v>0</v>
      </c>
      <c r="DG12" s="16">
        <f>MAX(BP33:BP36) + LARGE(BP33:BP36, 2)</f>
        <v>0</v>
      </c>
      <c r="DH12" s="15">
        <f t="shared" ref="DH12:EQ12" si="94">MAX(BQ33:BQ36) + LARGE(BQ33:BQ36, 2)</f>
        <v>0</v>
      </c>
      <c r="DI12" s="5">
        <f t="shared" si="94"/>
        <v>0</v>
      </c>
      <c r="DJ12" s="16">
        <f t="shared" si="94"/>
        <v>0</v>
      </c>
      <c r="DK12" s="15">
        <f t="shared" si="94"/>
        <v>0</v>
      </c>
      <c r="DL12" s="5">
        <f t="shared" si="94"/>
        <v>0</v>
      </c>
      <c r="DM12" s="16">
        <f t="shared" si="94"/>
        <v>0</v>
      </c>
      <c r="DN12" s="15">
        <f t="shared" si="94"/>
        <v>0</v>
      </c>
      <c r="DO12" s="5">
        <f t="shared" si="94"/>
        <v>0</v>
      </c>
      <c r="DP12" s="16">
        <f t="shared" si="94"/>
        <v>0</v>
      </c>
      <c r="DQ12" s="15">
        <f t="shared" si="94"/>
        <v>0</v>
      </c>
      <c r="DR12" s="5">
        <f t="shared" si="94"/>
        <v>0</v>
      </c>
      <c r="DS12" s="16">
        <f t="shared" si="94"/>
        <v>0</v>
      </c>
      <c r="DT12" s="15">
        <f t="shared" si="94"/>
        <v>0</v>
      </c>
      <c r="DU12" s="5">
        <f t="shared" si="94"/>
        <v>0</v>
      </c>
      <c r="DV12" s="16">
        <f t="shared" si="94"/>
        <v>0</v>
      </c>
      <c r="DW12" s="15">
        <f t="shared" si="94"/>
        <v>0</v>
      </c>
      <c r="DX12" s="5">
        <f t="shared" si="94"/>
        <v>0</v>
      </c>
      <c r="DY12" s="16">
        <f t="shared" si="94"/>
        <v>0</v>
      </c>
      <c r="DZ12" s="15">
        <f t="shared" si="94"/>
        <v>0</v>
      </c>
      <c r="EA12" s="5">
        <f t="shared" si="94"/>
        <v>0</v>
      </c>
      <c r="EB12" s="16">
        <f t="shared" si="94"/>
        <v>0</v>
      </c>
      <c r="EC12" s="15">
        <f t="shared" si="94"/>
        <v>0</v>
      </c>
      <c r="ED12" s="5">
        <f t="shared" si="94"/>
        <v>0</v>
      </c>
      <c r="EE12" s="16">
        <f t="shared" si="94"/>
        <v>0</v>
      </c>
      <c r="EF12" s="15">
        <f t="shared" si="94"/>
        <v>0</v>
      </c>
      <c r="EG12" s="5">
        <f t="shared" si="94"/>
        <v>0</v>
      </c>
      <c r="EH12" s="16">
        <f t="shared" si="94"/>
        <v>0</v>
      </c>
      <c r="EI12" s="15">
        <f t="shared" si="94"/>
        <v>0</v>
      </c>
      <c r="EJ12" s="5">
        <f t="shared" si="94"/>
        <v>0</v>
      </c>
      <c r="EK12" s="16">
        <f t="shared" si="94"/>
        <v>0</v>
      </c>
      <c r="EL12" s="15">
        <f t="shared" si="94"/>
        <v>0</v>
      </c>
      <c r="EM12" s="5">
        <f t="shared" si="94"/>
        <v>0</v>
      </c>
      <c r="EN12" s="16">
        <f t="shared" si="94"/>
        <v>0</v>
      </c>
      <c r="EO12" s="15">
        <f t="shared" si="94"/>
        <v>0</v>
      </c>
      <c r="EP12" s="5">
        <f t="shared" si="94"/>
        <v>0</v>
      </c>
      <c r="EQ12" s="16">
        <f t="shared" si="94"/>
        <v>0</v>
      </c>
      <c r="ER12" s="11">
        <f>SUM(DA33:DA36)</f>
        <v>0</v>
      </c>
      <c r="EU12" s="244"/>
      <c r="EV12" s="17">
        <f>LARGE((BN9:BN12, BN17:BN20, BN25:BN28), 2)</f>
        <v>0</v>
      </c>
      <c r="EW12" s="31">
        <f>LARGE((BO9:BO12, BO17:BO20, BO25:BO28), 2)</f>
        <v>0</v>
      </c>
      <c r="EX12" s="18">
        <f>LARGE((BP9:BP12, BP17:BP20, BP25:BP28), 2)</f>
        <v>0</v>
      </c>
      <c r="EY12" s="17">
        <f>LARGE((BQ9:BQ12, BQ17:BQ20, BQ25:BQ28), 2)</f>
        <v>0</v>
      </c>
      <c r="EZ12" s="31">
        <f>LARGE((BR9:BR12, BR17:BR20, BR25:BR28), 2)</f>
        <v>0</v>
      </c>
      <c r="FA12" s="18">
        <f>LARGE((BS9:BS12, BS17:BS20, BS25:BS28), 2)</f>
        <v>0</v>
      </c>
      <c r="FB12" s="17">
        <f>LARGE((BT9:BT12, BT17:BT20, BT25:BT28), 2)</f>
        <v>0</v>
      </c>
      <c r="FC12" s="31">
        <f>LARGE((BU9:BU12, BU17:BU20, BU25:BU28), 2)</f>
        <v>0</v>
      </c>
      <c r="FD12" s="18">
        <f>LARGE((BV9:BV12, BV17:BV20, BV25:BV28), 2)</f>
        <v>0</v>
      </c>
      <c r="FE12" s="17">
        <f>LARGE((BW9:BW12, BW17:BW20, BW25:BW28), 2)</f>
        <v>0</v>
      </c>
      <c r="FF12" s="31">
        <f>LARGE((BX9:BX12, BX17:BX20, BX25:BX28), 2)</f>
        <v>0</v>
      </c>
      <c r="FG12" s="18">
        <f>LARGE((BY9:BY12, BY17:BY20, BY25:BY28), 2)</f>
        <v>0</v>
      </c>
      <c r="FH12" s="17">
        <f>LARGE((BZ9:BZ12, BZ17:BZ20, BZ25:BZ28), 2)</f>
        <v>0</v>
      </c>
      <c r="FI12" s="31">
        <f>LARGE((CA9:CA12, CA17:CA20, CA25:CA28), 2)</f>
        <v>0</v>
      </c>
      <c r="FJ12" s="18">
        <f>LARGE((CB9:CB12, CB17:CB20, CB25:CB28), 2)</f>
        <v>0</v>
      </c>
      <c r="FK12" s="17">
        <f>LARGE((CC9:CC12, CC17:CC20, CC25:CC28), 2)</f>
        <v>0</v>
      </c>
      <c r="FL12" s="31">
        <f>LARGE((CD9:CD12, CD17:CD20, CD25:CD28), 2)</f>
        <v>0</v>
      </c>
      <c r="FM12" s="18">
        <f>LARGE((CE9:CE12, CE17:CE20, CE25:CE28), 2)</f>
        <v>0</v>
      </c>
      <c r="FN12" s="17">
        <f>LARGE((CF9:CF12, CF17:CF20, CF25:CF28), 2)</f>
        <v>0</v>
      </c>
      <c r="FO12" s="31">
        <f>LARGE((CG9:CG12, CG17:CG20, CG25:CG28), 2)</f>
        <v>0</v>
      </c>
      <c r="FP12" s="18">
        <f>LARGE((CH9:CH12, CH17:CH20, CH25:CH28), 2)</f>
        <v>0</v>
      </c>
      <c r="FQ12" s="86">
        <f>LARGE((CI9:CI12, CI17:CI20, CI25:CI28), 2)</f>
        <v>0</v>
      </c>
      <c r="FR12" s="31">
        <f>LARGE((CJ9:CJ12, CJ17:CJ20, CJ25:CJ28), 2)</f>
        <v>0</v>
      </c>
      <c r="FS12" s="50">
        <f>LARGE((CK9:CK12, CK17:CK20, CK25:CK28), 2)</f>
        <v>0</v>
      </c>
      <c r="FT12" s="17">
        <f>LARGE((CL9:CL12, CL17:CL20, CL25:CL28), 2)</f>
        <v>0</v>
      </c>
      <c r="FU12" s="31">
        <f>LARGE((CM9:CM12, CM17:CM20, CM25:CM28), 2)</f>
        <v>0</v>
      </c>
      <c r="FV12" s="18">
        <f>LARGE((CN9:CN12, CN17:CN20, CN25:CN28), 2)</f>
        <v>0</v>
      </c>
      <c r="FW12" s="17">
        <f>LARGE((CO9:CO12, CO17:CO20, CO25:CO28), 2)</f>
        <v>0</v>
      </c>
      <c r="FX12" s="31">
        <f>LARGE((CP9:CP12, CP17:CP20, CP25:CP28), 2)</f>
        <v>0</v>
      </c>
      <c r="FY12" s="18">
        <f>LARGE((CQ9:CQ12, CQ17:CQ20, CQ25:CQ28), 2)</f>
        <v>0</v>
      </c>
      <c r="FZ12" s="17">
        <f>LARGE((CR9:CR12, CR17:CR20, CR25:CR28), 2)</f>
        <v>0</v>
      </c>
      <c r="GA12" s="31">
        <f>LARGE((CS9:CS12, CS17:CS20, CS25:CS28), 2)</f>
        <v>0</v>
      </c>
      <c r="GB12" s="18">
        <f>LARGE((CT9:CT12, CT17:CT20, CT25:CT28), 2)</f>
        <v>0</v>
      </c>
      <c r="GC12" s="17">
        <f>LARGE((CU9:CU12, CU17:CU20, CU25:CU28), 2)</f>
        <v>0</v>
      </c>
      <c r="GD12" s="31">
        <f>LARGE((CV9:CV12, CV17:CV20, CV25:CV28), 2)</f>
        <v>0</v>
      </c>
      <c r="GE12" s="18">
        <f>LARGE((CW9:CW12, CW17:CW20, CW25:CW28), 2)</f>
        <v>0</v>
      </c>
      <c r="GF12" s="17">
        <f>LARGE((CX9:CX12, CX17:CX20, CX25:CX28), 2)</f>
        <v>0</v>
      </c>
      <c r="GG12" s="31">
        <f>LARGE((CY9:CY12, CY17:CY20, CY25:CY28), 2)</f>
        <v>0</v>
      </c>
      <c r="GH12" s="18">
        <f>LARGE((CZ9:CZ12, CZ17:CZ20, CZ25:CZ28), 2)</f>
        <v>0</v>
      </c>
      <c r="GI12" s="227"/>
      <c r="GL12" s="192"/>
    </row>
    <row r="13" spans="2:194" ht="16.8" customHeight="1" x14ac:dyDescent="0.3">
      <c r="B13" s="8" t="s">
        <v>27</v>
      </c>
      <c r="C13" s="35" t="s">
        <v>232</v>
      </c>
      <c r="D13" s="35" t="s">
        <v>67</v>
      </c>
      <c r="E13" s="35" t="s">
        <v>308</v>
      </c>
      <c r="F13" s="70" t="s">
        <v>34</v>
      </c>
      <c r="G13" s="75" t="s">
        <v>8</v>
      </c>
      <c r="H13" s="67" t="s">
        <v>13</v>
      </c>
      <c r="I13" s="11">
        <f>SUM(BN15:DA15)</f>
        <v>0</v>
      </c>
      <c r="L13" s="35" t="s">
        <v>67</v>
      </c>
      <c r="M13" s="15"/>
      <c r="N13" s="5"/>
      <c r="O13" s="16"/>
      <c r="P13" s="15"/>
      <c r="Q13" s="5"/>
      <c r="R13" s="16"/>
      <c r="S13" s="15"/>
      <c r="T13" s="5"/>
      <c r="U13" s="16"/>
      <c r="V13" s="15"/>
      <c r="W13" s="5"/>
      <c r="X13" s="16"/>
      <c r="Y13" s="15"/>
      <c r="Z13" s="5"/>
      <c r="AA13" s="16"/>
      <c r="AB13" s="15"/>
      <c r="AC13" s="5"/>
      <c r="AD13" s="16"/>
      <c r="AE13" s="15"/>
      <c r="AF13" s="5"/>
      <c r="AG13" s="16"/>
      <c r="AH13" s="15"/>
      <c r="AI13" s="5"/>
      <c r="AJ13" s="16"/>
      <c r="AK13" s="15"/>
      <c r="AL13" s="5"/>
      <c r="AM13" s="16"/>
      <c r="AN13" s="15"/>
      <c r="AO13" s="5"/>
      <c r="AP13" s="16"/>
      <c r="AQ13" s="15"/>
      <c r="AR13" s="5"/>
      <c r="AS13" s="16"/>
      <c r="AT13" s="15"/>
      <c r="AU13" s="5"/>
      <c r="AV13" s="16"/>
      <c r="AW13" s="15"/>
      <c r="AX13" s="5"/>
      <c r="AY13" s="16"/>
      <c r="AZ13" s="11"/>
      <c r="BC13" s="8" t="s">
        <v>27</v>
      </c>
      <c r="BD13" s="131" t="s">
        <v>605</v>
      </c>
      <c r="BE13" s="11">
        <f t="shared" si="43"/>
        <v>0</v>
      </c>
      <c r="BH13" s="70" t="s">
        <v>594</v>
      </c>
      <c r="BI13" s="75" t="s">
        <v>597</v>
      </c>
      <c r="BJ13" s="67" t="s">
        <v>596</v>
      </c>
      <c r="BM13" s="35" t="s">
        <v>65</v>
      </c>
      <c r="BN13" s="46">
        <f>IF(M11 &lt;&gt; "", VLOOKUP(CONCATENATE("P", M11), pointsSystem, 2, FALSE), 0)</f>
        <v>0</v>
      </c>
      <c r="BO13" s="6">
        <f>IF(N11 &lt;&gt; "", VLOOKUP(CONCATENATE("P", N11), pointsSystem, 3, FALSE), 0)</f>
        <v>0</v>
      </c>
      <c r="BP13" s="47">
        <f>IF(O11 &lt;&gt; "", VLOOKUP(CONCATENATE("P", O11), pointsSystem, 4, FALSE), 0)</f>
        <v>0</v>
      </c>
      <c r="BQ13" s="46">
        <f>IF(P11 &lt;&gt; "", VLOOKUP(CONCATENATE("P", P11), pointsSystem, 2, FALSE), 0)</f>
        <v>0</v>
      </c>
      <c r="BR13" s="6">
        <f>IF(Q11 &lt;&gt; "", VLOOKUP(CONCATENATE("P", Q11), pointsSystem, 3, FALSE), 0)</f>
        <v>0</v>
      </c>
      <c r="BS13" s="47">
        <f>IF(R11 &lt;&gt; "", VLOOKUP(CONCATENATE("P", R11), pointsSystem, 4, FALSE), 0)</f>
        <v>0</v>
      </c>
      <c r="BT13" s="46">
        <f>IF(S11 &lt;&gt; "", VLOOKUP(CONCATENATE("P", S11), pointsSystem, 2, FALSE), 0)</f>
        <v>0</v>
      </c>
      <c r="BU13" s="6">
        <f>IF(T11 &lt;&gt; "", VLOOKUP(CONCATENATE("P", T11), pointsSystem, 3, FALSE), 0)</f>
        <v>0</v>
      </c>
      <c r="BV13" s="47">
        <f>IF(U11 &lt;&gt; "", VLOOKUP(CONCATENATE("P", U11), pointsSystem, 4, FALSE), 0)</f>
        <v>0</v>
      </c>
      <c r="BW13" s="46">
        <f>IF(V11 &lt;&gt; "", VLOOKUP(CONCATENATE("P", V11), pointsSystem, 2, FALSE), 0)</f>
        <v>0</v>
      </c>
      <c r="BX13" s="6">
        <f>IF(W11 &lt;&gt; "", VLOOKUP(CONCATENATE("P", W11), pointsSystem, 3, FALSE), 0)</f>
        <v>0</v>
      </c>
      <c r="BY13" s="47">
        <f>IF(X11 &lt;&gt; "", VLOOKUP(CONCATENATE("P", X11), pointsSystem, 4, FALSE), 0)</f>
        <v>0</v>
      </c>
      <c r="BZ13" s="46">
        <f>IF(Y11 &lt;&gt; "", VLOOKUP(CONCATENATE("P", Y11), pointsSystem, 2, FALSE), 0)</f>
        <v>0</v>
      </c>
      <c r="CA13" s="6">
        <f>IF(Z11 &lt;&gt; "", VLOOKUP(CONCATENATE("P", Z11), pointsSystem, 3, FALSE), 0)</f>
        <v>0</v>
      </c>
      <c r="CB13" s="47">
        <f>IF(AA11 &lt;&gt; "", VLOOKUP(CONCATENATE("P", AA11), pointsSystem, 4, FALSE), 0)</f>
        <v>0</v>
      </c>
      <c r="CC13" s="46">
        <f>IF(AB11 &lt;&gt; "", VLOOKUP(CONCATENATE("P", AB11), pointsSystem, 2, FALSE), 0)</f>
        <v>0</v>
      </c>
      <c r="CD13" s="6">
        <f>IF(AC11 &lt;&gt; "", VLOOKUP(CONCATENATE("P", AC11), pointsSystem, 3, FALSE), 0)</f>
        <v>0</v>
      </c>
      <c r="CE13" s="47">
        <f>IF(AD11 &lt;&gt; "", VLOOKUP(CONCATENATE("P", AD11), pointsSystem, 4, FALSE), 0)</f>
        <v>0</v>
      </c>
      <c r="CF13" s="46">
        <f>IF(AE11 &lt;&gt; "", VLOOKUP(CONCATENATE("P", AE11), pointsSystem, 2, FALSE), 0)</f>
        <v>0</v>
      </c>
      <c r="CG13" s="6">
        <f>IF(AF11 &lt;&gt; "", VLOOKUP(CONCATENATE("P", AF11), pointsSystem, 3, FALSE), 0)</f>
        <v>0</v>
      </c>
      <c r="CH13" s="47">
        <f>IF(AG11 &lt;&gt; "", VLOOKUP(CONCATENATE("P", AG11), pointsSystem, 4, FALSE), 0)</f>
        <v>0</v>
      </c>
      <c r="CI13" s="46">
        <f>IF(AH11 &lt;&gt; "", VLOOKUP(CONCATENATE("P", AH11), pointsSystem, 2, FALSE), 0)</f>
        <v>0</v>
      </c>
      <c r="CJ13" s="6">
        <f>IF(AI11 &lt;&gt; "", VLOOKUP(CONCATENATE("P", AI11), pointsSystem, 3, FALSE), 0)</f>
        <v>0</v>
      </c>
      <c r="CK13" s="47">
        <f>IF(AJ11 &lt;&gt; "", VLOOKUP(CONCATENATE("P", AJ11), pointsSystem, 4, FALSE), 0)</f>
        <v>0</v>
      </c>
      <c r="CL13" s="46">
        <f>IF(AK11 &lt;&gt; "", VLOOKUP(CONCATENATE("P", AK11), pointsSystem, 2, FALSE), 0)</f>
        <v>0</v>
      </c>
      <c r="CM13" s="6">
        <f>IF(AL11 &lt;&gt; "", VLOOKUP(CONCATENATE("P", AL11), pointsSystem, 3, FALSE), 0)</f>
        <v>0</v>
      </c>
      <c r="CN13" s="47">
        <f>IF(AM11 &lt;&gt; "", VLOOKUP(CONCATENATE("P", AM11), pointsSystem, 4, FALSE), 0)</f>
        <v>0</v>
      </c>
      <c r="CO13" s="46">
        <f>IF(AN11 &lt;&gt; "", VLOOKUP(CONCATENATE("P", AN11), pointsSystem, 2, FALSE), 0)</f>
        <v>0</v>
      </c>
      <c r="CP13" s="6">
        <f>IF(AO11 &lt;&gt; "", VLOOKUP(CONCATENATE("P", AO11), pointsSystem, 3, FALSE), 0)</f>
        <v>0</v>
      </c>
      <c r="CQ13" s="47">
        <f>IF(AP11 &lt;&gt; "", VLOOKUP(CONCATENATE("P", AP11), pointsSystem, 4, FALSE), 0)</f>
        <v>0</v>
      </c>
      <c r="CR13" s="46">
        <f>IF(AQ11 &lt;&gt; "", VLOOKUP(CONCATENATE("P", AQ11), pointsSystem, 2, FALSE), 0)</f>
        <v>0</v>
      </c>
      <c r="CS13" s="6">
        <f>IF(AR11 &lt;&gt; "", VLOOKUP(CONCATENATE("P", AR11), pointsSystem, 3, FALSE), 0)</f>
        <v>0</v>
      </c>
      <c r="CT13" s="47">
        <f>IF(AS11 &lt;&gt; "", VLOOKUP(CONCATENATE("P", AS11), pointsSystem, 4, FALSE), 0)</f>
        <v>0</v>
      </c>
      <c r="CU13" s="46">
        <f>IF(AT11 &lt;&gt; "", VLOOKUP(CONCATENATE("P", AT11), pointsSystem, 2, FALSE), 0)</f>
        <v>0</v>
      </c>
      <c r="CV13" s="6">
        <f>IF(AU11 &lt;&gt; "", VLOOKUP(CONCATENATE("P", AU11), pointsSystem, 3, FALSE), 0)</f>
        <v>0</v>
      </c>
      <c r="CW13" s="47">
        <f>IF(AV11 &lt;&gt; "", VLOOKUP(CONCATENATE("P", AV11), pointsSystem, 4, FALSE), 0)</f>
        <v>0</v>
      </c>
      <c r="CX13" s="46">
        <f>IF(AW11 &lt;&gt; "", VLOOKUP(CONCATENATE("P", AW11), pointsSystem, 2, FALSE), 0)</f>
        <v>0</v>
      </c>
      <c r="CY13" s="6">
        <f>IF(AX11 &lt;&gt; "", VLOOKUP(CONCATENATE("P", AX11), pointsSystem, 3, FALSE), 0)</f>
        <v>0</v>
      </c>
      <c r="CZ13" s="47">
        <f>IF(AY11 &lt;&gt; "", VLOOKUP(CONCATENATE("P", AY11), pointsSystem, 4, FALSE), 0)</f>
        <v>0</v>
      </c>
      <c r="DA13" s="48">
        <f>AZ11 * 1</f>
        <v>0</v>
      </c>
      <c r="DD13" s="131" t="s">
        <v>605</v>
      </c>
      <c r="DE13" s="15">
        <f>MAX(BN37:BN40) + LARGE(BN37:BN40, 2)</f>
        <v>0</v>
      </c>
      <c r="DF13" s="5">
        <f>MAX(BO37:BO40) + LARGE(BO37:BO40, 2)</f>
        <v>0</v>
      </c>
      <c r="DG13" s="16">
        <f>MAX(BP37:BP40) + LARGE(BP37:BP40, 2)</f>
        <v>0</v>
      </c>
      <c r="DH13" s="15">
        <f t="shared" ref="DH13:EQ13" si="95">MAX(BQ37:BQ40) + LARGE(BQ37:BQ40, 2)</f>
        <v>0</v>
      </c>
      <c r="DI13" s="5">
        <f t="shared" si="95"/>
        <v>0</v>
      </c>
      <c r="DJ13" s="16">
        <f t="shared" si="95"/>
        <v>0</v>
      </c>
      <c r="DK13" s="15">
        <f t="shared" si="95"/>
        <v>0</v>
      </c>
      <c r="DL13" s="5">
        <f t="shared" si="95"/>
        <v>0</v>
      </c>
      <c r="DM13" s="16">
        <f t="shared" si="95"/>
        <v>0</v>
      </c>
      <c r="DN13" s="15">
        <f t="shared" si="95"/>
        <v>0</v>
      </c>
      <c r="DO13" s="5">
        <f t="shared" si="95"/>
        <v>0</v>
      </c>
      <c r="DP13" s="16">
        <f t="shared" si="95"/>
        <v>0</v>
      </c>
      <c r="DQ13" s="15">
        <f t="shared" si="95"/>
        <v>0</v>
      </c>
      <c r="DR13" s="5">
        <f t="shared" si="95"/>
        <v>0</v>
      </c>
      <c r="DS13" s="16">
        <f t="shared" si="95"/>
        <v>0</v>
      </c>
      <c r="DT13" s="15">
        <f t="shared" si="95"/>
        <v>0</v>
      </c>
      <c r="DU13" s="5">
        <f t="shared" si="95"/>
        <v>0</v>
      </c>
      <c r="DV13" s="16">
        <f t="shared" si="95"/>
        <v>0</v>
      </c>
      <c r="DW13" s="15">
        <f t="shared" si="95"/>
        <v>0</v>
      </c>
      <c r="DX13" s="5">
        <f t="shared" si="95"/>
        <v>0</v>
      </c>
      <c r="DY13" s="16">
        <f t="shared" si="95"/>
        <v>0</v>
      </c>
      <c r="DZ13" s="15">
        <f t="shared" si="95"/>
        <v>0</v>
      </c>
      <c r="EA13" s="5">
        <f t="shared" si="95"/>
        <v>0</v>
      </c>
      <c r="EB13" s="16">
        <f t="shared" si="95"/>
        <v>0</v>
      </c>
      <c r="EC13" s="15">
        <f t="shared" si="95"/>
        <v>0</v>
      </c>
      <c r="ED13" s="5">
        <f t="shared" si="95"/>
        <v>0</v>
      </c>
      <c r="EE13" s="16">
        <f t="shared" si="95"/>
        <v>0</v>
      </c>
      <c r="EF13" s="15">
        <f t="shared" si="95"/>
        <v>0</v>
      </c>
      <c r="EG13" s="5">
        <f t="shared" si="95"/>
        <v>0</v>
      </c>
      <c r="EH13" s="16">
        <f t="shared" si="95"/>
        <v>0</v>
      </c>
      <c r="EI13" s="15">
        <f t="shared" si="95"/>
        <v>0</v>
      </c>
      <c r="EJ13" s="5">
        <f t="shared" si="95"/>
        <v>0</v>
      </c>
      <c r="EK13" s="16">
        <f t="shared" si="95"/>
        <v>0</v>
      </c>
      <c r="EL13" s="15">
        <f t="shared" si="95"/>
        <v>0</v>
      </c>
      <c r="EM13" s="5">
        <f t="shared" si="95"/>
        <v>0</v>
      </c>
      <c r="EN13" s="16">
        <f t="shared" si="95"/>
        <v>0</v>
      </c>
      <c r="EO13" s="15">
        <f t="shared" si="95"/>
        <v>0</v>
      </c>
      <c r="EP13" s="5">
        <f t="shared" si="95"/>
        <v>0</v>
      </c>
      <c r="EQ13" s="16">
        <f t="shared" si="95"/>
        <v>0</v>
      </c>
      <c r="ER13" s="11">
        <f>SUM(DA37:DA40)</f>
        <v>0</v>
      </c>
    </row>
    <row r="14" spans="2:194" ht="16.8" customHeight="1" thickBot="1" x14ac:dyDescent="0.35">
      <c r="B14" s="8" t="s">
        <v>28</v>
      </c>
      <c r="C14" s="37" t="s">
        <v>189</v>
      </c>
      <c r="D14" s="37" t="s">
        <v>68</v>
      </c>
      <c r="E14" s="37" t="s">
        <v>334</v>
      </c>
      <c r="F14" s="71" t="s">
        <v>6</v>
      </c>
      <c r="G14" s="76" t="s">
        <v>10</v>
      </c>
      <c r="H14" s="72" t="s">
        <v>12</v>
      </c>
      <c r="I14" s="11">
        <f>SUM(BN17:DA17)</f>
        <v>0</v>
      </c>
      <c r="L14" s="37" t="s">
        <v>68</v>
      </c>
      <c r="M14" s="15"/>
      <c r="N14" s="5"/>
      <c r="O14" s="16"/>
      <c r="P14" s="15"/>
      <c r="Q14" s="5"/>
      <c r="R14" s="16"/>
      <c r="S14" s="15"/>
      <c r="T14" s="5"/>
      <c r="U14" s="16"/>
      <c r="V14" s="15"/>
      <c r="W14" s="5"/>
      <c r="X14" s="16"/>
      <c r="Y14" s="15"/>
      <c r="Z14" s="5"/>
      <c r="AA14" s="16"/>
      <c r="AB14" s="15"/>
      <c r="AC14" s="5"/>
      <c r="AD14" s="16"/>
      <c r="AE14" s="15"/>
      <c r="AF14" s="5"/>
      <c r="AG14" s="16"/>
      <c r="AH14" s="15"/>
      <c r="AI14" s="5"/>
      <c r="AJ14" s="16"/>
      <c r="AK14" s="15"/>
      <c r="AL14" s="5"/>
      <c r="AM14" s="16"/>
      <c r="AN14" s="15"/>
      <c r="AO14" s="5"/>
      <c r="AP14" s="16"/>
      <c r="AQ14" s="15"/>
      <c r="AR14" s="5"/>
      <c r="AS14" s="16"/>
      <c r="AT14" s="15"/>
      <c r="AU14" s="5"/>
      <c r="AV14" s="16"/>
      <c r="AW14" s="15"/>
      <c r="AX14" s="5"/>
      <c r="AY14" s="16"/>
      <c r="AZ14" s="11"/>
      <c r="BC14" s="137" t="s">
        <v>28</v>
      </c>
      <c r="BD14" s="139" t="s">
        <v>607</v>
      </c>
      <c r="BE14" s="84">
        <f t="shared" si="43"/>
        <v>0</v>
      </c>
      <c r="BH14" s="70" t="s">
        <v>594</v>
      </c>
      <c r="BI14" s="75" t="s">
        <v>597</v>
      </c>
      <c r="BJ14" s="67" t="s">
        <v>596</v>
      </c>
      <c r="BM14" s="35" t="s">
        <v>66</v>
      </c>
      <c r="BN14" s="46">
        <f>IF(M12 &lt;&gt; "", VLOOKUP(CONCATENATE("P", M12), pointsSystem, 2, FALSE), 0)</f>
        <v>0</v>
      </c>
      <c r="BO14" s="6">
        <f>IF(N12 &lt;&gt; "", VLOOKUP(CONCATENATE("P", N12), pointsSystem, 3, FALSE), 0)</f>
        <v>0</v>
      </c>
      <c r="BP14" s="47">
        <f>IF(O12 &lt;&gt; "", VLOOKUP(CONCATENATE("P", O12), pointsSystem, 4, FALSE), 0)</f>
        <v>0</v>
      </c>
      <c r="BQ14" s="46">
        <f>IF(P12 &lt;&gt; "", VLOOKUP(CONCATENATE("P", P12), pointsSystem, 2, FALSE), 0)</f>
        <v>0</v>
      </c>
      <c r="BR14" s="6">
        <f>IF(Q12 &lt;&gt; "", VLOOKUP(CONCATENATE("P", Q12), pointsSystem, 3, FALSE), 0)</f>
        <v>0</v>
      </c>
      <c r="BS14" s="47">
        <f>IF(R12 &lt;&gt; "", VLOOKUP(CONCATENATE("P", R12), pointsSystem, 4, FALSE), 0)</f>
        <v>0</v>
      </c>
      <c r="BT14" s="46">
        <f>IF(S12 &lt;&gt; "", VLOOKUP(CONCATENATE("P", S12), pointsSystem, 2, FALSE), 0)</f>
        <v>0</v>
      </c>
      <c r="BU14" s="6">
        <f>IF(T12 &lt;&gt; "", VLOOKUP(CONCATENATE("P", T12), pointsSystem, 3, FALSE), 0)</f>
        <v>0</v>
      </c>
      <c r="BV14" s="47">
        <f>IF(U12 &lt;&gt; "", VLOOKUP(CONCATENATE("P", U12), pointsSystem, 4, FALSE), 0)</f>
        <v>0</v>
      </c>
      <c r="BW14" s="46">
        <f>IF(V12 &lt;&gt; "", VLOOKUP(CONCATENATE("P", V12), pointsSystem, 2, FALSE), 0)</f>
        <v>0</v>
      </c>
      <c r="BX14" s="6">
        <f>IF(W12 &lt;&gt; "", VLOOKUP(CONCATENATE("P", W12), pointsSystem, 3, FALSE), 0)</f>
        <v>0</v>
      </c>
      <c r="BY14" s="47">
        <f>IF(X12 &lt;&gt; "", VLOOKUP(CONCATENATE("P", X12), pointsSystem, 4, FALSE), 0)</f>
        <v>0</v>
      </c>
      <c r="BZ14" s="46">
        <f>IF(Y12 &lt;&gt; "", VLOOKUP(CONCATENATE("P", Y12), pointsSystem, 2, FALSE), 0)</f>
        <v>0</v>
      </c>
      <c r="CA14" s="6">
        <f>IF(Z12 &lt;&gt; "", VLOOKUP(CONCATENATE("P", Z12), pointsSystem, 3, FALSE), 0)</f>
        <v>0</v>
      </c>
      <c r="CB14" s="47">
        <f>IF(AA12 &lt;&gt; "", VLOOKUP(CONCATENATE("P", AA12), pointsSystem, 4, FALSE), 0)</f>
        <v>0</v>
      </c>
      <c r="CC14" s="46">
        <f>IF(AB12 &lt;&gt; "", VLOOKUP(CONCATENATE("P", AB12), pointsSystem, 2, FALSE), 0)</f>
        <v>0</v>
      </c>
      <c r="CD14" s="6">
        <f>IF(AC12 &lt;&gt; "", VLOOKUP(CONCATENATE("P", AC12), pointsSystem, 3, FALSE), 0)</f>
        <v>0</v>
      </c>
      <c r="CE14" s="47">
        <f>IF(AD12 &lt;&gt; "", VLOOKUP(CONCATENATE("P", AD12), pointsSystem, 4, FALSE), 0)</f>
        <v>0</v>
      </c>
      <c r="CF14" s="46">
        <f>IF(AE12 &lt;&gt; "", VLOOKUP(CONCATENATE("P", AE12), pointsSystem, 2, FALSE), 0)</f>
        <v>0</v>
      </c>
      <c r="CG14" s="6">
        <f>IF(AF12 &lt;&gt; "", VLOOKUP(CONCATENATE("P", AF12), pointsSystem, 3, FALSE), 0)</f>
        <v>0</v>
      </c>
      <c r="CH14" s="47">
        <f>IF(AG12 &lt;&gt; "", VLOOKUP(CONCATENATE("P", AG12), pointsSystem, 4, FALSE), 0)</f>
        <v>0</v>
      </c>
      <c r="CI14" s="46">
        <f>IF(AH12 &lt;&gt; "", VLOOKUP(CONCATENATE("P", AH12), pointsSystem, 2, FALSE), 0)</f>
        <v>0</v>
      </c>
      <c r="CJ14" s="6">
        <f>IF(AI12 &lt;&gt; "", VLOOKUP(CONCATENATE("P", AI12), pointsSystem, 3, FALSE), 0)</f>
        <v>0</v>
      </c>
      <c r="CK14" s="47">
        <f>IF(AJ12 &lt;&gt; "", VLOOKUP(CONCATENATE("P", AJ12), pointsSystem, 4, FALSE), 0)</f>
        <v>0</v>
      </c>
      <c r="CL14" s="46">
        <f>IF(AK12 &lt;&gt; "", VLOOKUP(CONCATENATE("P", AK12), pointsSystem, 2, FALSE), 0)</f>
        <v>0</v>
      </c>
      <c r="CM14" s="6">
        <f>IF(AL12 &lt;&gt; "", VLOOKUP(CONCATENATE("P", AL12), pointsSystem, 3, FALSE), 0)</f>
        <v>0</v>
      </c>
      <c r="CN14" s="47">
        <f>IF(AM12 &lt;&gt; "", VLOOKUP(CONCATENATE("P", AM12), pointsSystem, 4, FALSE), 0)</f>
        <v>0</v>
      </c>
      <c r="CO14" s="46">
        <f>IF(AN12 &lt;&gt; "", VLOOKUP(CONCATENATE("P", AN12), pointsSystem, 2, FALSE), 0)</f>
        <v>0</v>
      </c>
      <c r="CP14" s="6">
        <f>IF(AO12 &lt;&gt; "", VLOOKUP(CONCATENATE("P", AO12), pointsSystem, 3, FALSE), 0)</f>
        <v>0</v>
      </c>
      <c r="CQ14" s="47">
        <f>IF(AP12 &lt;&gt; "", VLOOKUP(CONCATENATE("P", AP12), pointsSystem, 4, FALSE), 0)</f>
        <v>0</v>
      </c>
      <c r="CR14" s="46">
        <f>IF(AQ12 &lt;&gt; "", VLOOKUP(CONCATENATE("P", AQ12), pointsSystem, 2, FALSE), 0)</f>
        <v>0</v>
      </c>
      <c r="CS14" s="6">
        <f>IF(AR12 &lt;&gt; "", VLOOKUP(CONCATENATE("P", AR12), pointsSystem, 3, FALSE), 0)</f>
        <v>0</v>
      </c>
      <c r="CT14" s="47">
        <f>IF(AS12 &lt;&gt; "", VLOOKUP(CONCATENATE("P", AS12), pointsSystem, 4, FALSE), 0)</f>
        <v>0</v>
      </c>
      <c r="CU14" s="46">
        <f>IF(AT12 &lt;&gt; "", VLOOKUP(CONCATENATE("P", AT12), pointsSystem, 2, FALSE), 0)</f>
        <v>0</v>
      </c>
      <c r="CV14" s="6">
        <f>IF(AU12 &lt;&gt; "", VLOOKUP(CONCATENATE("P", AU12), pointsSystem, 3, FALSE), 0)</f>
        <v>0</v>
      </c>
      <c r="CW14" s="47">
        <f>IF(AV12 &lt;&gt; "", VLOOKUP(CONCATENATE("P", AV12), pointsSystem, 4, FALSE), 0)</f>
        <v>0</v>
      </c>
      <c r="CX14" s="46">
        <f>IF(AW12 &lt;&gt; "", VLOOKUP(CONCATENATE("P", AW12), pointsSystem, 2, FALSE), 0)</f>
        <v>0</v>
      </c>
      <c r="CY14" s="6">
        <f>IF(AX12 &lt;&gt; "", VLOOKUP(CONCATENATE("P", AX12), pointsSystem, 3, FALSE), 0)</f>
        <v>0</v>
      </c>
      <c r="CZ14" s="47">
        <f>IF(AY12 &lt;&gt; "", VLOOKUP(CONCATENATE("P", AY12), pointsSystem, 4, FALSE), 0)</f>
        <v>0</v>
      </c>
      <c r="DA14" s="48">
        <f>AZ12 * 1</f>
        <v>0</v>
      </c>
      <c r="DD14" s="139" t="s">
        <v>607</v>
      </c>
      <c r="DE14" s="17">
        <f>MAX(BN41:BN44) + LARGE(BN41:BN44, 2)</f>
        <v>0</v>
      </c>
      <c r="DF14" s="31">
        <f>MAX(BO41:BO44) + LARGE(BO41:BO44, 2)</f>
        <v>0</v>
      </c>
      <c r="DG14" s="18">
        <f>MAX(BP41:BP44) + LARGE(BP41:BP44, 2)</f>
        <v>0</v>
      </c>
      <c r="DH14" s="17">
        <f t="shared" ref="DH14:EQ14" si="96">MAX(BQ41:BQ44) + LARGE(BQ41:BQ44, 2)</f>
        <v>0</v>
      </c>
      <c r="DI14" s="31">
        <f t="shared" si="96"/>
        <v>0</v>
      </c>
      <c r="DJ14" s="18">
        <f t="shared" si="96"/>
        <v>0</v>
      </c>
      <c r="DK14" s="17">
        <f t="shared" si="96"/>
        <v>0</v>
      </c>
      <c r="DL14" s="31">
        <f t="shared" si="96"/>
        <v>0</v>
      </c>
      <c r="DM14" s="18">
        <f t="shared" si="96"/>
        <v>0</v>
      </c>
      <c r="DN14" s="17">
        <f t="shared" si="96"/>
        <v>0</v>
      </c>
      <c r="DO14" s="31">
        <f t="shared" si="96"/>
        <v>0</v>
      </c>
      <c r="DP14" s="18">
        <f t="shared" si="96"/>
        <v>0</v>
      </c>
      <c r="DQ14" s="17">
        <f t="shared" si="96"/>
        <v>0</v>
      </c>
      <c r="DR14" s="31">
        <f t="shared" si="96"/>
        <v>0</v>
      </c>
      <c r="DS14" s="18">
        <f t="shared" si="96"/>
        <v>0</v>
      </c>
      <c r="DT14" s="17">
        <f t="shared" si="96"/>
        <v>0</v>
      </c>
      <c r="DU14" s="31">
        <f t="shared" si="96"/>
        <v>0</v>
      </c>
      <c r="DV14" s="18">
        <f t="shared" si="96"/>
        <v>0</v>
      </c>
      <c r="DW14" s="17">
        <f t="shared" si="96"/>
        <v>0</v>
      </c>
      <c r="DX14" s="31">
        <f t="shared" si="96"/>
        <v>0</v>
      </c>
      <c r="DY14" s="18">
        <f t="shared" si="96"/>
        <v>0</v>
      </c>
      <c r="DZ14" s="17">
        <f t="shared" si="96"/>
        <v>0</v>
      </c>
      <c r="EA14" s="31">
        <f t="shared" si="96"/>
        <v>0</v>
      </c>
      <c r="EB14" s="18">
        <f t="shared" si="96"/>
        <v>0</v>
      </c>
      <c r="EC14" s="17">
        <f t="shared" si="96"/>
        <v>0</v>
      </c>
      <c r="ED14" s="31">
        <f t="shared" si="96"/>
        <v>0</v>
      </c>
      <c r="EE14" s="18">
        <f t="shared" si="96"/>
        <v>0</v>
      </c>
      <c r="EF14" s="17">
        <f t="shared" si="96"/>
        <v>0</v>
      </c>
      <c r="EG14" s="31">
        <f t="shared" si="96"/>
        <v>0</v>
      </c>
      <c r="EH14" s="18">
        <f t="shared" si="96"/>
        <v>0</v>
      </c>
      <c r="EI14" s="17">
        <f t="shared" si="96"/>
        <v>0</v>
      </c>
      <c r="EJ14" s="31">
        <f t="shared" si="96"/>
        <v>0</v>
      </c>
      <c r="EK14" s="18">
        <f t="shared" si="96"/>
        <v>0</v>
      </c>
      <c r="EL14" s="17">
        <f t="shared" si="96"/>
        <v>0</v>
      </c>
      <c r="EM14" s="31">
        <f t="shared" si="96"/>
        <v>0</v>
      </c>
      <c r="EN14" s="18">
        <f t="shared" si="96"/>
        <v>0</v>
      </c>
      <c r="EO14" s="17">
        <f t="shared" si="96"/>
        <v>0</v>
      </c>
      <c r="EP14" s="31">
        <f t="shared" si="96"/>
        <v>0</v>
      </c>
      <c r="EQ14" s="18">
        <f t="shared" si="96"/>
        <v>0</v>
      </c>
      <c r="ER14" s="12">
        <f>SUM(DA41:DA44)</f>
        <v>0</v>
      </c>
    </row>
    <row r="15" spans="2:194" ht="16.8" customHeight="1" thickBot="1" x14ac:dyDescent="0.35">
      <c r="B15" s="8" t="s">
        <v>29</v>
      </c>
      <c r="C15" s="37" t="s">
        <v>230</v>
      </c>
      <c r="D15" s="37" t="s">
        <v>69</v>
      </c>
      <c r="E15" s="37" t="s">
        <v>334</v>
      </c>
      <c r="F15" s="71" t="s">
        <v>6</v>
      </c>
      <c r="G15" s="76" t="s">
        <v>10</v>
      </c>
      <c r="H15" s="72" t="s">
        <v>12</v>
      </c>
      <c r="I15" s="11">
        <f>SUM(BN18:DA18)</f>
        <v>0</v>
      </c>
      <c r="L15" s="37" t="s">
        <v>69</v>
      </c>
      <c r="M15" s="15"/>
      <c r="N15" s="5"/>
      <c r="O15" s="16"/>
      <c r="P15" s="15"/>
      <c r="Q15" s="5"/>
      <c r="R15" s="16"/>
      <c r="S15" s="15"/>
      <c r="T15" s="5"/>
      <c r="U15" s="16"/>
      <c r="V15" s="15"/>
      <c r="W15" s="5"/>
      <c r="X15" s="16"/>
      <c r="Y15" s="15"/>
      <c r="Z15" s="5"/>
      <c r="AA15" s="16"/>
      <c r="AB15" s="15"/>
      <c r="AC15" s="5"/>
      <c r="AD15" s="16"/>
      <c r="AE15" s="15"/>
      <c r="AF15" s="5"/>
      <c r="AG15" s="16"/>
      <c r="AH15" s="15"/>
      <c r="AI15" s="5"/>
      <c r="AJ15" s="16"/>
      <c r="AK15" s="15"/>
      <c r="AL15" s="5"/>
      <c r="AM15" s="16"/>
      <c r="AN15" s="15"/>
      <c r="AO15" s="5"/>
      <c r="AP15" s="16"/>
      <c r="AQ15" s="15"/>
      <c r="AR15" s="5"/>
      <c r="AS15" s="16"/>
      <c r="AT15" s="15"/>
      <c r="AU15" s="5"/>
      <c r="AV15" s="16"/>
      <c r="AW15" s="15"/>
      <c r="AX15" s="5"/>
      <c r="AY15" s="16"/>
      <c r="AZ15" s="11"/>
      <c r="BC15" s="130"/>
      <c r="BD15" s="130"/>
      <c r="BE15" s="130"/>
      <c r="BH15" s="70" t="s">
        <v>594</v>
      </c>
      <c r="BI15" s="75" t="s">
        <v>597</v>
      </c>
      <c r="BJ15" s="67" t="s">
        <v>596</v>
      </c>
      <c r="BM15" s="35" t="s">
        <v>67</v>
      </c>
      <c r="BN15" s="46">
        <f>IF(M13 &lt;&gt; "", VLOOKUP(CONCATENATE("P", M13), pointsSystem, 2, FALSE), 0)</f>
        <v>0</v>
      </c>
      <c r="BO15" s="6">
        <f>IF(N13 &lt;&gt; "", VLOOKUP(CONCATENATE("P", N13), pointsSystem, 3, FALSE), 0)</f>
        <v>0</v>
      </c>
      <c r="BP15" s="47">
        <f>IF(O13 &lt;&gt; "", VLOOKUP(CONCATENATE("P", O13), pointsSystem, 4, FALSE), 0)</f>
        <v>0</v>
      </c>
      <c r="BQ15" s="46">
        <f>IF(P13 &lt;&gt; "", VLOOKUP(CONCATENATE("P", P13), pointsSystem, 2, FALSE), 0)</f>
        <v>0</v>
      </c>
      <c r="BR15" s="6">
        <f>IF(Q13 &lt;&gt; "", VLOOKUP(CONCATENATE("P", Q13), pointsSystem, 3, FALSE), 0)</f>
        <v>0</v>
      </c>
      <c r="BS15" s="47">
        <f>IF(R13 &lt;&gt; "", VLOOKUP(CONCATENATE("P", R13), pointsSystem, 4, FALSE), 0)</f>
        <v>0</v>
      </c>
      <c r="BT15" s="46">
        <f>IF(S13 &lt;&gt; "", VLOOKUP(CONCATENATE("P", S13), pointsSystem, 2, FALSE), 0)</f>
        <v>0</v>
      </c>
      <c r="BU15" s="6">
        <f>IF(T13 &lt;&gt; "", VLOOKUP(CONCATENATE("P", T13), pointsSystem, 3, FALSE), 0)</f>
        <v>0</v>
      </c>
      <c r="BV15" s="47">
        <f>IF(U13 &lt;&gt; "", VLOOKUP(CONCATENATE("P", U13), pointsSystem, 4, FALSE), 0)</f>
        <v>0</v>
      </c>
      <c r="BW15" s="46">
        <f>IF(V13 &lt;&gt; "", VLOOKUP(CONCATENATE("P", V13), pointsSystem, 2, FALSE), 0)</f>
        <v>0</v>
      </c>
      <c r="BX15" s="6">
        <f>IF(W13 &lt;&gt; "", VLOOKUP(CONCATENATE("P", W13), pointsSystem, 3, FALSE), 0)</f>
        <v>0</v>
      </c>
      <c r="BY15" s="47">
        <f>IF(X13 &lt;&gt; "", VLOOKUP(CONCATENATE("P", X13), pointsSystem, 4, FALSE), 0)</f>
        <v>0</v>
      </c>
      <c r="BZ15" s="46">
        <f>IF(Y13 &lt;&gt; "", VLOOKUP(CONCATENATE("P", Y13), pointsSystem, 2, FALSE), 0)</f>
        <v>0</v>
      </c>
      <c r="CA15" s="6">
        <f>IF(Z13 &lt;&gt; "", VLOOKUP(CONCATENATE("P", Z13), pointsSystem, 3, FALSE), 0)</f>
        <v>0</v>
      </c>
      <c r="CB15" s="47">
        <f>IF(AA13 &lt;&gt; "", VLOOKUP(CONCATENATE("P", AA13), pointsSystem, 4, FALSE), 0)</f>
        <v>0</v>
      </c>
      <c r="CC15" s="46">
        <f>IF(AB13 &lt;&gt; "", VLOOKUP(CONCATENATE("P", AB13), pointsSystem, 2, FALSE), 0)</f>
        <v>0</v>
      </c>
      <c r="CD15" s="6">
        <f>IF(AC13 &lt;&gt; "", VLOOKUP(CONCATENATE("P", AC13), pointsSystem, 3, FALSE), 0)</f>
        <v>0</v>
      </c>
      <c r="CE15" s="47">
        <f>IF(AD13 &lt;&gt; "", VLOOKUP(CONCATENATE("P", AD13), pointsSystem, 4, FALSE), 0)</f>
        <v>0</v>
      </c>
      <c r="CF15" s="46">
        <f>IF(AE13 &lt;&gt; "", VLOOKUP(CONCATENATE("P", AE13), pointsSystem, 2, FALSE), 0)</f>
        <v>0</v>
      </c>
      <c r="CG15" s="6">
        <f>IF(AF13 &lt;&gt; "", VLOOKUP(CONCATENATE("P", AF13), pointsSystem, 3, FALSE), 0)</f>
        <v>0</v>
      </c>
      <c r="CH15" s="47">
        <f>IF(AG13 &lt;&gt; "", VLOOKUP(CONCATENATE("P", AG13), pointsSystem, 4, FALSE), 0)</f>
        <v>0</v>
      </c>
      <c r="CI15" s="46">
        <f>IF(AH13 &lt;&gt; "", VLOOKUP(CONCATENATE("P", AH13), pointsSystem, 2, FALSE), 0)</f>
        <v>0</v>
      </c>
      <c r="CJ15" s="6">
        <f>IF(AI13 &lt;&gt; "", VLOOKUP(CONCATENATE("P", AI13), pointsSystem, 3, FALSE), 0)</f>
        <v>0</v>
      </c>
      <c r="CK15" s="47">
        <f>IF(AJ13 &lt;&gt; "", VLOOKUP(CONCATENATE("P", AJ13), pointsSystem, 4, FALSE), 0)</f>
        <v>0</v>
      </c>
      <c r="CL15" s="46">
        <f>IF(AK13 &lt;&gt; "", VLOOKUP(CONCATENATE("P", AK13), pointsSystem, 2, FALSE), 0)</f>
        <v>0</v>
      </c>
      <c r="CM15" s="6">
        <f>IF(AL13 &lt;&gt; "", VLOOKUP(CONCATENATE("P", AL13), pointsSystem, 3, FALSE), 0)</f>
        <v>0</v>
      </c>
      <c r="CN15" s="47">
        <f>IF(AM13 &lt;&gt; "", VLOOKUP(CONCATENATE("P", AM13), pointsSystem, 4, FALSE), 0)</f>
        <v>0</v>
      </c>
      <c r="CO15" s="46">
        <f>IF(AN13 &lt;&gt; "", VLOOKUP(CONCATENATE("P", AN13), pointsSystem, 2, FALSE), 0)</f>
        <v>0</v>
      </c>
      <c r="CP15" s="6">
        <f>IF(AO13 &lt;&gt; "", VLOOKUP(CONCATENATE("P", AO13), pointsSystem, 3, FALSE), 0)</f>
        <v>0</v>
      </c>
      <c r="CQ15" s="47">
        <f>IF(AP13 &lt;&gt; "", VLOOKUP(CONCATENATE("P", AP13), pointsSystem, 4, FALSE), 0)</f>
        <v>0</v>
      </c>
      <c r="CR15" s="46">
        <f>IF(AQ13 &lt;&gt; "", VLOOKUP(CONCATENATE("P", AQ13), pointsSystem, 2, FALSE), 0)</f>
        <v>0</v>
      </c>
      <c r="CS15" s="6">
        <f>IF(AR13 &lt;&gt; "", VLOOKUP(CONCATENATE("P", AR13), pointsSystem, 3, FALSE), 0)</f>
        <v>0</v>
      </c>
      <c r="CT15" s="47">
        <f>IF(AS13 &lt;&gt; "", VLOOKUP(CONCATENATE("P", AS13), pointsSystem, 4, FALSE), 0)</f>
        <v>0</v>
      </c>
      <c r="CU15" s="46">
        <f>IF(AT13 &lt;&gt; "", VLOOKUP(CONCATENATE("P", AT13), pointsSystem, 2, FALSE), 0)</f>
        <v>0</v>
      </c>
      <c r="CV15" s="6">
        <f>IF(AU13 &lt;&gt; "", VLOOKUP(CONCATENATE("P", AU13), pointsSystem, 3, FALSE), 0)</f>
        <v>0</v>
      </c>
      <c r="CW15" s="47">
        <f>IF(AV13 &lt;&gt; "", VLOOKUP(CONCATENATE("P", AV13), pointsSystem, 4, FALSE), 0)</f>
        <v>0</v>
      </c>
      <c r="CX15" s="46">
        <f>IF(AW13 &lt;&gt; "", VLOOKUP(CONCATENATE("P", AW13), pointsSystem, 2, FALSE), 0)</f>
        <v>0</v>
      </c>
      <c r="CY15" s="6">
        <f>IF(AX13 &lt;&gt; "", VLOOKUP(CONCATENATE("P", AX13), pointsSystem, 3, FALSE), 0)</f>
        <v>0</v>
      </c>
      <c r="CZ15" s="47">
        <f>IF(AY13 &lt;&gt; "", VLOOKUP(CONCATENATE("P", AY13), pointsSystem, 4, FALSE), 0)</f>
        <v>0</v>
      </c>
      <c r="DA15" s="48">
        <f>AZ13 * 1</f>
        <v>0</v>
      </c>
      <c r="DD15" s="130"/>
      <c r="EU15" s="192" t="s">
        <v>2</v>
      </c>
      <c r="EV15" s="177" t="s">
        <v>358</v>
      </c>
      <c r="EW15" s="229"/>
      <c r="EX15" s="178"/>
      <c r="EY15" s="177" t="s">
        <v>359</v>
      </c>
      <c r="EZ15" s="229"/>
      <c r="FA15" s="178"/>
      <c r="FB15" s="177" t="s">
        <v>360</v>
      </c>
      <c r="FC15" s="229"/>
      <c r="FD15" s="178"/>
      <c r="FE15" s="177" t="s">
        <v>361</v>
      </c>
      <c r="FF15" s="229"/>
      <c r="FG15" s="178"/>
      <c r="FH15" s="177" t="s">
        <v>362</v>
      </c>
      <c r="FI15" s="229"/>
      <c r="FJ15" s="178"/>
      <c r="FK15" s="177" t="s">
        <v>363</v>
      </c>
      <c r="FL15" s="229"/>
      <c r="FM15" s="178"/>
      <c r="FN15" s="177" t="s">
        <v>364</v>
      </c>
      <c r="FO15" s="229"/>
      <c r="FP15" s="178"/>
      <c r="FQ15" s="223" t="s">
        <v>365</v>
      </c>
      <c r="FR15" s="229"/>
      <c r="FS15" s="222"/>
      <c r="FT15" s="177" t="s">
        <v>366</v>
      </c>
      <c r="FU15" s="229"/>
      <c r="FV15" s="178"/>
      <c r="FW15" s="177" t="s">
        <v>367</v>
      </c>
      <c r="FX15" s="229"/>
      <c r="FY15" s="178"/>
      <c r="FZ15" s="177" t="s">
        <v>425</v>
      </c>
      <c r="GA15" s="229"/>
      <c r="GB15" s="178"/>
      <c r="GC15" s="177" t="s">
        <v>426</v>
      </c>
      <c r="GD15" s="229"/>
      <c r="GE15" s="178"/>
      <c r="GF15" s="177" t="s">
        <v>591</v>
      </c>
      <c r="GG15" s="229"/>
      <c r="GH15" s="178"/>
      <c r="GI15" s="230" t="s">
        <v>412</v>
      </c>
      <c r="GL15" s="202" t="s">
        <v>45</v>
      </c>
    </row>
    <row r="16" spans="2:194" ht="16.8" customHeight="1" thickBot="1" x14ac:dyDescent="0.35">
      <c r="B16" s="8" t="s">
        <v>30</v>
      </c>
      <c r="C16" s="37" t="s">
        <v>188</v>
      </c>
      <c r="D16" s="37" t="s">
        <v>70</v>
      </c>
      <c r="E16" s="37" t="s">
        <v>334</v>
      </c>
      <c r="F16" s="71" t="s">
        <v>6</v>
      </c>
      <c r="G16" s="76" t="s">
        <v>10</v>
      </c>
      <c r="H16" s="72" t="s">
        <v>12</v>
      </c>
      <c r="I16" s="11">
        <f>SUM(BN19:DA19)</f>
        <v>0</v>
      </c>
      <c r="L16" s="37" t="s">
        <v>70</v>
      </c>
      <c r="M16" s="15"/>
      <c r="N16" s="5"/>
      <c r="O16" s="16"/>
      <c r="P16" s="15"/>
      <c r="Q16" s="5"/>
      <c r="R16" s="16"/>
      <c r="S16" s="15"/>
      <c r="T16" s="5"/>
      <c r="U16" s="16"/>
      <c r="V16" s="15"/>
      <c r="W16" s="5"/>
      <c r="X16" s="16"/>
      <c r="Y16" s="15"/>
      <c r="Z16" s="5"/>
      <c r="AA16" s="16"/>
      <c r="AB16" s="15"/>
      <c r="AC16" s="5"/>
      <c r="AD16" s="16"/>
      <c r="AE16" s="15"/>
      <c r="AF16" s="5"/>
      <c r="AG16" s="16"/>
      <c r="AH16" s="15"/>
      <c r="AI16" s="5"/>
      <c r="AJ16" s="16"/>
      <c r="AK16" s="15"/>
      <c r="AL16" s="5"/>
      <c r="AM16" s="16"/>
      <c r="AN16" s="15"/>
      <c r="AO16" s="5"/>
      <c r="AP16" s="16"/>
      <c r="AQ16" s="15"/>
      <c r="AR16" s="5"/>
      <c r="AS16" s="16"/>
      <c r="AT16" s="15"/>
      <c r="AU16" s="5"/>
      <c r="AV16" s="16"/>
      <c r="AW16" s="15"/>
      <c r="AX16" s="5"/>
      <c r="AY16" s="16"/>
      <c r="AZ16" s="11"/>
      <c r="BH16" s="70" t="s">
        <v>594</v>
      </c>
      <c r="BI16" s="75" t="s">
        <v>597</v>
      </c>
      <c r="BJ16" s="67" t="s">
        <v>596</v>
      </c>
      <c r="BM16" s="35" t="s">
        <v>340</v>
      </c>
      <c r="BN16" s="46">
        <f>IF(M39 &lt;&gt; "", VLOOKUP(CONCATENATE("P", M39), pointsSystem, 2, FALSE), 0)</f>
        <v>0</v>
      </c>
      <c r="BO16" s="6">
        <f>IF(N39 &lt;&gt; "", VLOOKUP(CONCATENATE("P", N39), pointsSystem, 3, FALSE), 0)</f>
        <v>0</v>
      </c>
      <c r="BP16" s="47">
        <f>IF(O39 &lt;&gt; "", VLOOKUP(CONCATENATE("P", O39), pointsSystem, 4, FALSE), 0)</f>
        <v>0</v>
      </c>
      <c r="BQ16" s="46">
        <f>IF(P39 &lt;&gt; "", VLOOKUP(CONCATENATE("P", P39), pointsSystem, 2, FALSE), 0)</f>
        <v>0</v>
      </c>
      <c r="BR16" s="6">
        <f>IF(Q39 &lt;&gt; "", VLOOKUP(CONCATENATE("P", Q39), pointsSystem, 3, FALSE), 0)</f>
        <v>0</v>
      </c>
      <c r="BS16" s="47">
        <f>IF(R39 &lt;&gt; "", VLOOKUP(CONCATENATE("P", R39), pointsSystem, 4, FALSE), 0)</f>
        <v>0</v>
      </c>
      <c r="BT16" s="46">
        <f>IF(S39 &lt;&gt; "", VLOOKUP(CONCATENATE("P", S39), pointsSystem, 2, FALSE), 0)</f>
        <v>0</v>
      </c>
      <c r="BU16" s="6">
        <f>IF(T39 &lt;&gt; "", VLOOKUP(CONCATENATE("P", T39), pointsSystem, 3, FALSE), 0)</f>
        <v>0</v>
      </c>
      <c r="BV16" s="47">
        <f>IF(U39 &lt;&gt; "", VLOOKUP(CONCATENATE("P", U39), pointsSystem, 4, FALSE), 0)</f>
        <v>0</v>
      </c>
      <c r="BW16" s="46">
        <f>IF(V39 &lt;&gt; "", VLOOKUP(CONCATENATE("P", V39), pointsSystem, 2, FALSE), 0)</f>
        <v>0</v>
      </c>
      <c r="BX16" s="6">
        <f>IF(W39 &lt;&gt; "", VLOOKUP(CONCATENATE("P", W39), pointsSystem, 3, FALSE), 0)</f>
        <v>0</v>
      </c>
      <c r="BY16" s="47">
        <f>IF(X39 &lt;&gt; "", VLOOKUP(CONCATENATE("P", X39), pointsSystem, 4, FALSE), 0)</f>
        <v>0</v>
      </c>
      <c r="BZ16" s="46">
        <f>IF(Y39 &lt;&gt; "", VLOOKUP(CONCATENATE("P", Y39), pointsSystem, 2, FALSE), 0)</f>
        <v>0</v>
      </c>
      <c r="CA16" s="6">
        <f>IF(Z39 &lt;&gt; "", VLOOKUP(CONCATENATE("P", Z39), pointsSystem, 3, FALSE), 0)</f>
        <v>0</v>
      </c>
      <c r="CB16" s="47">
        <f>IF(AA39 &lt;&gt; "", VLOOKUP(CONCATENATE("P", AA39), pointsSystem, 4, FALSE), 0)</f>
        <v>0</v>
      </c>
      <c r="CC16" s="46">
        <f>IF(AB39 &lt;&gt; "", VLOOKUP(CONCATENATE("P", AB39), pointsSystem, 2, FALSE), 0)</f>
        <v>0</v>
      </c>
      <c r="CD16" s="6">
        <f>IF(AC39 &lt;&gt; "", VLOOKUP(CONCATENATE("P", AC39), pointsSystem, 3, FALSE), 0)</f>
        <v>0</v>
      </c>
      <c r="CE16" s="47">
        <f>IF(AD39 &lt;&gt; "", VLOOKUP(CONCATENATE("P", AD39), pointsSystem, 4, FALSE), 0)</f>
        <v>0</v>
      </c>
      <c r="CF16" s="46">
        <f>IF(AE39 &lt;&gt; "", VLOOKUP(CONCATENATE("P", AE39), pointsSystem, 2, FALSE), 0)</f>
        <v>0</v>
      </c>
      <c r="CG16" s="6">
        <f>IF(AF39 &lt;&gt; "", VLOOKUP(CONCATENATE("P", AF39), pointsSystem, 3, FALSE), 0)</f>
        <v>0</v>
      </c>
      <c r="CH16" s="47">
        <f>IF(AG39 &lt;&gt; "", VLOOKUP(CONCATENATE("P", AG39), pointsSystem, 4, FALSE), 0)</f>
        <v>0</v>
      </c>
      <c r="CI16" s="46">
        <f>IF(AH39 &lt;&gt; "", VLOOKUP(CONCATENATE("P", AH39), pointsSystem, 2, FALSE), 0)</f>
        <v>0</v>
      </c>
      <c r="CJ16" s="6">
        <f>IF(AI39 &lt;&gt; "", VLOOKUP(CONCATENATE("P", AI39), pointsSystem, 3, FALSE), 0)</f>
        <v>0</v>
      </c>
      <c r="CK16" s="47">
        <f>IF(AJ39 &lt;&gt; "", VLOOKUP(CONCATENATE("P", AJ39), pointsSystem, 4, FALSE), 0)</f>
        <v>0</v>
      </c>
      <c r="CL16" s="46">
        <f>IF(AK39 &lt;&gt; "", VLOOKUP(CONCATENATE("P", AK39), pointsSystem, 2, FALSE), 0)</f>
        <v>0</v>
      </c>
      <c r="CM16" s="6">
        <f>IF(AL39 &lt;&gt; "", VLOOKUP(CONCATENATE("P", AL39), pointsSystem, 3, FALSE), 0)</f>
        <v>0</v>
      </c>
      <c r="CN16" s="47">
        <f>IF(AM39 &lt;&gt; "", VLOOKUP(CONCATENATE("P", AM39), pointsSystem, 4, FALSE), 0)</f>
        <v>0</v>
      </c>
      <c r="CO16" s="46">
        <f>IF(AN39 &lt;&gt; "", VLOOKUP(CONCATENATE("P", AN39), pointsSystem, 2, FALSE), 0)</f>
        <v>0</v>
      </c>
      <c r="CP16" s="6">
        <f>IF(AO39 &lt;&gt; "", VLOOKUP(CONCATENATE("P", AO39), pointsSystem, 3, FALSE), 0)</f>
        <v>0</v>
      </c>
      <c r="CQ16" s="47">
        <f>IF(AP39 &lt;&gt; "", VLOOKUP(CONCATENATE("P", AP39), pointsSystem, 4, FALSE), 0)</f>
        <v>0</v>
      </c>
      <c r="CR16" s="46">
        <f>IF(AQ39 &lt;&gt; "", VLOOKUP(CONCATENATE("P", AQ39), pointsSystem, 2, FALSE), 0)</f>
        <v>0</v>
      </c>
      <c r="CS16" s="6">
        <f>IF(AR39 &lt;&gt; "", VLOOKUP(CONCATENATE("P", AR39), pointsSystem, 3, FALSE), 0)</f>
        <v>0</v>
      </c>
      <c r="CT16" s="47">
        <f>IF(AS39 &lt;&gt; "", VLOOKUP(CONCATENATE("P", AS39), pointsSystem, 4, FALSE), 0)</f>
        <v>0</v>
      </c>
      <c r="CU16" s="46">
        <f>IF(AT39 &lt;&gt; "", VLOOKUP(CONCATENATE("P", AT39), pointsSystem, 2, FALSE), 0)</f>
        <v>0</v>
      </c>
      <c r="CV16" s="6">
        <f>IF(AU39 &lt;&gt; "", VLOOKUP(CONCATENATE("P", AU39), pointsSystem, 3, FALSE), 0)</f>
        <v>0</v>
      </c>
      <c r="CW16" s="47">
        <f>IF(AV39 &lt;&gt; "", VLOOKUP(CONCATENATE("P", AV39), pointsSystem, 4, FALSE), 0)</f>
        <v>0</v>
      </c>
      <c r="CX16" s="46">
        <f>IF(AW39 &lt;&gt; "", VLOOKUP(CONCATENATE("P", AW39), pointsSystem, 2, FALSE), 0)</f>
        <v>0</v>
      </c>
      <c r="CY16" s="6">
        <f>IF(AX39 &lt;&gt; "", VLOOKUP(CONCATENATE("P", AX39), pointsSystem, 3, FALSE), 0)</f>
        <v>0</v>
      </c>
      <c r="CZ16" s="47">
        <f>IF(AY39 &lt;&gt; "", VLOOKUP(CONCATENATE("P", AY39), pointsSystem, 4, FALSE), 0)</f>
        <v>0</v>
      </c>
      <c r="DA16" s="48">
        <f>AZ39 * 1</f>
        <v>0</v>
      </c>
      <c r="EU16" s="192"/>
      <c r="EV16" s="79" t="s">
        <v>16</v>
      </c>
      <c r="EW16" s="80" t="s">
        <v>17</v>
      </c>
      <c r="EX16" s="81" t="s">
        <v>18</v>
      </c>
      <c r="EY16" s="79" t="s">
        <v>16</v>
      </c>
      <c r="EZ16" s="80" t="s">
        <v>17</v>
      </c>
      <c r="FA16" s="81" t="s">
        <v>18</v>
      </c>
      <c r="FB16" s="79" t="s">
        <v>16</v>
      </c>
      <c r="FC16" s="80" t="s">
        <v>17</v>
      </c>
      <c r="FD16" s="81" t="s">
        <v>18</v>
      </c>
      <c r="FE16" s="79" t="s">
        <v>16</v>
      </c>
      <c r="FF16" s="80" t="s">
        <v>17</v>
      </c>
      <c r="FG16" s="81" t="s">
        <v>18</v>
      </c>
      <c r="FH16" s="79" t="s">
        <v>16</v>
      </c>
      <c r="FI16" s="80" t="s">
        <v>17</v>
      </c>
      <c r="FJ16" s="81" t="s">
        <v>18</v>
      </c>
      <c r="FK16" s="79" t="s">
        <v>16</v>
      </c>
      <c r="FL16" s="80" t="s">
        <v>17</v>
      </c>
      <c r="FM16" s="81" t="s">
        <v>18</v>
      </c>
      <c r="FN16" s="79" t="s">
        <v>16</v>
      </c>
      <c r="FO16" s="80" t="s">
        <v>17</v>
      </c>
      <c r="FP16" s="81" t="s">
        <v>18</v>
      </c>
      <c r="FQ16" s="82" t="s">
        <v>16</v>
      </c>
      <c r="FR16" s="80" t="s">
        <v>17</v>
      </c>
      <c r="FS16" s="83" t="s">
        <v>18</v>
      </c>
      <c r="FT16" s="79" t="s">
        <v>16</v>
      </c>
      <c r="FU16" s="80" t="s">
        <v>17</v>
      </c>
      <c r="FV16" s="81" t="s">
        <v>18</v>
      </c>
      <c r="FW16" s="79" t="s">
        <v>16</v>
      </c>
      <c r="FX16" s="80" t="s">
        <v>17</v>
      </c>
      <c r="FY16" s="81" t="s">
        <v>18</v>
      </c>
      <c r="FZ16" s="79" t="s">
        <v>16</v>
      </c>
      <c r="GA16" s="80" t="s">
        <v>17</v>
      </c>
      <c r="GB16" s="81" t="s">
        <v>18</v>
      </c>
      <c r="GC16" s="79" t="s">
        <v>16</v>
      </c>
      <c r="GD16" s="80" t="s">
        <v>17</v>
      </c>
      <c r="GE16" s="81" t="s">
        <v>18</v>
      </c>
      <c r="GF16" s="79" t="s">
        <v>16</v>
      </c>
      <c r="GG16" s="80" t="s">
        <v>17</v>
      </c>
      <c r="GH16" s="81" t="s">
        <v>18</v>
      </c>
      <c r="GI16" s="231"/>
      <c r="GL16" s="192"/>
    </row>
    <row r="17" spans="2:194" ht="16.8" customHeight="1" thickBot="1" x14ac:dyDescent="0.35">
      <c r="B17" s="8" t="s">
        <v>46</v>
      </c>
      <c r="C17" s="63" t="s">
        <v>192</v>
      </c>
      <c r="D17" s="63" t="s">
        <v>71</v>
      </c>
      <c r="E17" s="63" t="s">
        <v>325</v>
      </c>
      <c r="F17" s="68" t="s">
        <v>5</v>
      </c>
      <c r="G17" s="73" t="s">
        <v>9</v>
      </c>
      <c r="H17" s="77" t="s">
        <v>12</v>
      </c>
      <c r="I17" s="11">
        <f>SUM(BN21:DA21)</f>
        <v>0</v>
      </c>
      <c r="L17" s="63" t="s">
        <v>71</v>
      </c>
      <c r="M17" s="15"/>
      <c r="N17" s="5"/>
      <c r="O17" s="16"/>
      <c r="P17" s="15"/>
      <c r="Q17" s="5"/>
      <c r="R17" s="16"/>
      <c r="S17" s="15"/>
      <c r="T17" s="5"/>
      <c r="U17" s="16"/>
      <c r="V17" s="15"/>
      <c r="W17" s="5"/>
      <c r="X17" s="16"/>
      <c r="Y17" s="15"/>
      <c r="Z17" s="5"/>
      <c r="AA17" s="16"/>
      <c r="AB17" s="15"/>
      <c r="AC17" s="5"/>
      <c r="AD17" s="16"/>
      <c r="AE17" s="15"/>
      <c r="AF17" s="5"/>
      <c r="AG17" s="16"/>
      <c r="AH17" s="15"/>
      <c r="AI17" s="5"/>
      <c r="AJ17" s="16"/>
      <c r="AK17" s="15"/>
      <c r="AL17" s="5"/>
      <c r="AM17" s="16"/>
      <c r="AN17" s="15"/>
      <c r="AO17" s="5"/>
      <c r="AP17" s="16"/>
      <c r="AQ17" s="15"/>
      <c r="AR17" s="5"/>
      <c r="AS17" s="16"/>
      <c r="AT17" s="15"/>
      <c r="AU17" s="5"/>
      <c r="AV17" s="16"/>
      <c r="AW17" s="15"/>
      <c r="AX17" s="5"/>
      <c r="AY17" s="16"/>
      <c r="AZ17" s="11"/>
      <c r="BH17" s="71" t="s">
        <v>125</v>
      </c>
      <c r="BI17" s="76" t="s">
        <v>596</v>
      </c>
      <c r="BJ17" s="72" t="s">
        <v>598</v>
      </c>
      <c r="BM17" s="37" t="s">
        <v>68</v>
      </c>
      <c r="BN17" s="46">
        <f>IF(M14 &lt;&gt; "", VLOOKUP(CONCATENATE("P", M14), pointsSystem, 2, FALSE), 0)</f>
        <v>0</v>
      </c>
      <c r="BO17" s="6">
        <f>IF(N14 &lt;&gt; "", VLOOKUP(CONCATENATE("P", N14), pointsSystem, 3, FALSE), 0)</f>
        <v>0</v>
      </c>
      <c r="BP17" s="47">
        <f>IF(O14 &lt;&gt; "", VLOOKUP(CONCATENATE("P", O14), pointsSystem, 4, FALSE), 0)</f>
        <v>0</v>
      </c>
      <c r="BQ17" s="46">
        <f>IF(P14 &lt;&gt; "", VLOOKUP(CONCATENATE("P", P14), pointsSystem, 2, FALSE), 0)</f>
        <v>0</v>
      </c>
      <c r="BR17" s="6">
        <f>IF(Q14 &lt;&gt; "", VLOOKUP(CONCATENATE("P", Q14), pointsSystem, 3, FALSE), 0)</f>
        <v>0</v>
      </c>
      <c r="BS17" s="47">
        <f>IF(R14 &lt;&gt; "", VLOOKUP(CONCATENATE("P", R14), pointsSystem, 4, FALSE), 0)</f>
        <v>0</v>
      </c>
      <c r="BT17" s="46">
        <f>IF(S14 &lt;&gt; "", VLOOKUP(CONCATENATE("P", S14), pointsSystem, 2, FALSE), 0)</f>
        <v>0</v>
      </c>
      <c r="BU17" s="6">
        <f>IF(T14 &lt;&gt; "", VLOOKUP(CONCATENATE("P", T14), pointsSystem, 3, FALSE), 0)</f>
        <v>0</v>
      </c>
      <c r="BV17" s="47">
        <f>IF(U14 &lt;&gt; "", VLOOKUP(CONCATENATE("P", U14), pointsSystem, 4, FALSE), 0)</f>
        <v>0</v>
      </c>
      <c r="BW17" s="46">
        <f>IF(V14 &lt;&gt; "", VLOOKUP(CONCATENATE("P", V14), pointsSystem, 2, FALSE), 0)</f>
        <v>0</v>
      </c>
      <c r="BX17" s="6">
        <f>IF(W14 &lt;&gt; "", VLOOKUP(CONCATENATE("P", W14), pointsSystem, 3, FALSE), 0)</f>
        <v>0</v>
      </c>
      <c r="BY17" s="47">
        <f>IF(X14 &lt;&gt; "", VLOOKUP(CONCATENATE("P", X14), pointsSystem, 4, FALSE), 0)</f>
        <v>0</v>
      </c>
      <c r="BZ17" s="46">
        <f>IF(Y14 &lt;&gt; "", VLOOKUP(CONCATENATE("P", Y14), pointsSystem, 2, FALSE), 0)</f>
        <v>0</v>
      </c>
      <c r="CA17" s="6">
        <f>IF(Z14 &lt;&gt; "", VLOOKUP(CONCATENATE("P", Z14), pointsSystem, 3, FALSE), 0)</f>
        <v>0</v>
      </c>
      <c r="CB17" s="47">
        <f>IF(AA14 &lt;&gt; "", VLOOKUP(CONCATENATE("P", AA14), pointsSystem, 4, FALSE), 0)</f>
        <v>0</v>
      </c>
      <c r="CC17" s="46">
        <f>IF(AB14 &lt;&gt; "", VLOOKUP(CONCATENATE("P", AB14), pointsSystem, 2, FALSE), 0)</f>
        <v>0</v>
      </c>
      <c r="CD17" s="6">
        <f>IF(AC14 &lt;&gt; "", VLOOKUP(CONCATENATE("P", AC14), pointsSystem, 3, FALSE), 0)</f>
        <v>0</v>
      </c>
      <c r="CE17" s="47">
        <f>IF(AD14 &lt;&gt; "", VLOOKUP(CONCATENATE("P", AD14), pointsSystem, 4, FALSE), 0)</f>
        <v>0</v>
      </c>
      <c r="CF17" s="46">
        <f>IF(AE14 &lt;&gt; "", VLOOKUP(CONCATENATE("P", AE14), pointsSystem, 2, FALSE), 0)</f>
        <v>0</v>
      </c>
      <c r="CG17" s="6">
        <f>IF(AF14 &lt;&gt; "", VLOOKUP(CONCATENATE("P", AF14), pointsSystem, 3, FALSE), 0)</f>
        <v>0</v>
      </c>
      <c r="CH17" s="47">
        <f>IF(AG14 &lt;&gt; "", VLOOKUP(CONCATENATE("P", AG14), pointsSystem, 4, FALSE), 0)</f>
        <v>0</v>
      </c>
      <c r="CI17" s="46">
        <f>IF(AH14 &lt;&gt; "", VLOOKUP(CONCATENATE("P", AH14), pointsSystem, 2, FALSE), 0)</f>
        <v>0</v>
      </c>
      <c r="CJ17" s="6">
        <f>IF(AI14 &lt;&gt; "", VLOOKUP(CONCATENATE("P", AI14), pointsSystem, 3, FALSE), 0)</f>
        <v>0</v>
      </c>
      <c r="CK17" s="47">
        <f>IF(AJ14 &lt;&gt; "", VLOOKUP(CONCATENATE("P", AJ14), pointsSystem, 4, FALSE), 0)</f>
        <v>0</v>
      </c>
      <c r="CL17" s="46">
        <f>IF(AK14 &lt;&gt; "", VLOOKUP(CONCATENATE("P", AK14), pointsSystem, 2, FALSE), 0)</f>
        <v>0</v>
      </c>
      <c r="CM17" s="6">
        <f>IF(AL14 &lt;&gt; "", VLOOKUP(CONCATENATE("P", AL14), pointsSystem, 3, FALSE), 0)</f>
        <v>0</v>
      </c>
      <c r="CN17" s="47">
        <f>IF(AM14 &lt;&gt; "", VLOOKUP(CONCATENATE("P", AM14), pointsSystem, 4, FALSE), 0)</f>
        <v>0</v>
      </c>
      <c r="CO17" s="46">
        <f>IF(AN14 &lt;&gt; "", VLOOKUP(CONCATENATE("P", AN14), pointsSystem, 2, FALSE), 0)</f>
        <v>0</v>
      </c>
      <c r="CP17" s="6">
        <f>IF(AO14 &lt;&gt; "", VLOOKUP(CONCATENATE("P", AO14), pointsSystem, 3, FALSE), 0)</f>
        <v>0</v>
      </c>
      <c r="CQ17" s="47">
        <f>IF(AP14 &lt;&gt; "", VLOOKUP(CONCATENATE("P", AP14), pointsSystem, 4, FALSE), 0)</f>
        <v>0</v>
      </c>
      <c r="CR17" s="46">
        <f>IF(AQ14 &lt;&gt; "", VLOOKUP(CONCATENATE("P", AQ14), pointsSystem, 2, FALSE), 0)</f>
        <v>0</v>
      </c>
      <c r="CS17" s="6">
        <f>IF(AR14 &lt;&gt; "", VLOOKUP(CONCATENATE("P", AR14), pointsSystem, 3, FALSE), 0)</f>
        <v>0</v>
      </c>
      <c r="CT17" s="47">
        <f>IF(AS14 &lt;&gt; "", VLOOKUP(CONCATENATE("P", AS14), pointsSystem, 4, FALSE), 0)</f>
        <v>0</v>
      </c>
      <c r="CU17" s="46">
        <f>IF(AT14 &lt;&gt; "", VLOOKUP(CONCATENATE("P", AT14), pointsSystem, 2, FALSE), 0)</f>
        <v>0</v>
      </c>
      <c r="CV17" s="6">
        <f>IF(AU14 &lt;&gt; "", VLOOKUP(CONCATENATE("P", AU14), pointsSystem, 3, FALSE), 0)</f>
        <v>0</v>
      </c>
      <c r="CW17" s="47">
        <f>IF(AV14 &lt;&gt; "", VLOOKUP(CONCATENATE("P", AV14), pointsSystem, 4, FALSE), 0)</f>
        <v>0</v>
      </c>
      <c r="CX17" s="46">
        <f>IF(AW14 &lt;&gt; "", VLOOKUP(CONCATENATE("P", AW14), pointsSystem, 2, FALSE), 0)</f>
        <v>0</v>
      </c>
      <c r="CY17" s="6">
        <f>IF(AX14 &lt;&gt; "", VLOOKUP(CONCATENATE("P", AX14), pointsSystem, 3, FALSE), 0)</f>
        <v>0</v>
      </c>
      <c r="CZ17" s="47">
        <f>IF(AY14 &lt;&gt; "", VLOOKUP(CONCATENATE("P", AY14), pointsSystem, 4, FALSE), 0)</f>
        <v>0</v>
      </c>
      <c r="DA17" s="48">
        <f>AZ14 * 1</f>
        <v>0</v>
      </c>
      <c r="EU17" s="236" t="s">
        <v>8</v>
      </c>
      <c r="EV17" s="13">
        <f>MAX(BN5:BN8, BN13:BN16, BN25:BN28)</f>
        <v>0</v>
      </c>
      <c r="EW17" s="30">
        <f t="shared" ref="EW17:GG17" si="97">MAX(BO5:BO8, BO13:BO16, BO25:BO28)</f>
        <v>0</v>
      </c>
      <c r="EX17" s="14">
        <f t="shared" si="97"/>
        <v>0</v>
      </c>
      <c r="EY17" s="13">
        <f t="shared" si="97"/>
        <v>0</v>
      </c>
      <c r="EZ17" s="30">
        <f t="shared" si="97"/>
        <v>0</v>
      </c>
      <c r="FA17" s="14">
        <f t="shared" si="97"/>
        <v>0</v>
      </c>
      <c r="FB17" s="13">
        <f t="shared" si="97"/>
        <v>0</v>
      </c>
      <c r="FC17" s="30">
        <f t="shared" si="97"/>
        <v>0</v>
      </c>
      <c r="FD17" s="14">
        <f t="shared" si="97"/>
        <v>0</v>
      </c>
      <c r="FE17" s="13">
        <f t="shared" si="97"/>
        <v>0</v>
      </c>
      <c r="FF17" s="30">
        <f t="shared" si="97"/>
        <v>0</v>
      </c>
      <c r="FG17" s="14">
        <f t="shared" si="97"/>
        <v>0</v>
      </c>
      <c r="FH17" s="13">
        <f t="shared" si="97"/>
        <v>0</v>
      </c>
      <c r="FI17" s="30">
        <f t="shared" si="97"/>
        <v>0</v>
      </c>
      <c r="FJ17" s="14">
        <f t="shared" si="97"/>
        <v>0</v>
      </c>
      <c r="FK17" s="13">
        <f t="shared" si="97"/>
        <v>0</v>
      </c>
      <c r="FL17" s="30">
        <f t="shared" si="97"/>
        <v>0</v>
      </c>
      <c r="FM17" s="14">
        <f t="shared" si="97"/>
        <v>0</v>
      </c>
      <c r="FN17" s="13">
        <f t="shared" si="97"/>
        <v>0</v>
      </c>
      <c r="FO17" s="30">
        <f t="shared" si="97"/>
        <v>0</v>
      </c>
      <c r="FP17" s="14">
        <f t="shared" si="97"/>
        <v>0</v>
      </c>
      <c r="FQ17" s="85">
        <f t="shared" si="97"/>
        <v>0</v>
      </c>
      <c r="FR17" s="30">
        <f t="shared" si="97"/>
        <v>0</v>
      </c>
      <c r="FS17" s="49">
        <f t="shared" si="97"/>
        <v>0</v>
      </c>
      <c r="FT17" s="13">
        <f t="shared" si="97"/>
        <v>0</v>
      </c>
      <c r="FU17" s="30">
        <f t="shared" si="97"/>
        <v>0</v>
      </c>
      <c r="FV17" s="14">
        <f t="shared" si="97"/>
        <v>0</v>
      </c>
      <c r="FW17" s="13">
        <f t="shared" si="97"/>
        <v>0</v>
      </c>
      <c r="FX17" s="30">
        <f t="shared" si="97"/>
        <v>0</v>
      </c>
      <c r="FY17" s="14">
        <f t="shared" si="97"/>
        <v>0</v>
      </c>
      <c r="FZ17" s="13">
        <f t="shared" si="97"/>
        <v>0</v>
      </c>
      <c r="GA17" s="30">
        <f t="shared" si="97"/>
        <v>0</v>
      </c>
      <c r="GB17" s="14">
        <f t="shared" si="97"/>
        <v>0</v>
      </c>
      <c r="GC17" s="13">
        <f t="shared" si="97"/>
        <v>0</v>
      </c>
      <c r="GD17" s="30">
        <f t="shared" si="97"/>
        <v>0</v>
      </c>
      <c r="GE17" s="14">
        <f t="shared" si="97"/>
        <v>0</v>
      </c>
      <c r="GF17" s="13">
        <f t="shared" si="97"/>
        <v>0</v>
      </c>
      <c r="GG17" s="30">
        <f t="shared" si="97"/>
        <v>0</v>
      </c>
      <c r="GH17" s="14">
        <f>MAX(CZ5:CZ8, CZ13:CZ16, CZ25:CZ28)</f>
        <v>0</v>
      </c>
      <c r="GI17" s="226">
        <f>SUM(DA5:DA8, DA13:DA16, DA25:DA28)</f>
        <v>0</v>
      </c>
      <c r="GL17" s="192">
        <f>SUM(EV17:GI18)</f>
        <v>0</v>
      </c>
    </row>
    <row r="18" spans="2:194" ht="16.8" customHeight="1" thickBot="1" x14ac:dyDescent="0.35">
      <c r="B18" s="8" t="s">
        <v>47</v>
      </c>
      <c r="C18" s="40" t="s">
        <v>245</v>
      </c>
      <c r="D18" s="40" t="s">
        <v>72</v>
      </c>
      <c r="E18" s="40" t="s">
        <v>325</v>
      </c>
      <c r="F18" s="69" t="s">
        <v>5</v>
      </c>
      <c r="G18" s="74" t="s">
        <v>9</v>
      </c>
      <c r="H18" s="72" t="s">
        <v>12</v>
      </c>
      <c r="I18" s="11">
        <f>SUM(BN22:DA22)</f>
        <v>0</v>
      </c>
      <c r="L18" s="40" t="s">
        <v>72</v>
      </c>
      <c r="M18" s="15"/>
      <c r="N18" s="5"/>
      <c r="O18" s="16"/>
      <c r="P18" s="15"/>
      <c r="Q18" s="5"/>
      <c r="R18" s="16"/>
      <c r="S18" s="15"/>
      <c r="T18" s="5"/>
      <c r="U18" s="16"/>
      <c r="V18" s="15"/>
      <c r="W18" s="5"/>
      <c r="X18" s="16"/>
      <c r="Y18" s="15"/>
      <c r="Z18" s="5"/>
      <c r="AA18" s="16"/>
      <c r="AB18" s="15"/>
      <c r="AC18" s="5"/>
      <c r="AD18" s="16"/>
      <c r="AE18" s="15"/>
      <c r="AF18" s="5"/>
      <c r="AG18" s="16"/>
      <c r="AH18" s="15"/>
      <c r="AI18" s="5"/>
      <c r="AJ18" s="16"/>
      <c r="AK18" s="15"/>
      <c r="AL18" s="5"/>
      <c r="AM18" s="16"/>
      <c r="AN18" s="15"/>
      <c r="AO18" s="5"/>
      <c r="AP18" s="16"/>
      <c r="AQ18" s="15"/>
      <c r="AR18" s="5"/>
      <c r="AS18" s="16"/>
      <c r="AT18" s="15"/>
      <c r="AU18" s="5"/>
      <c r="AV18" s="16"/>
      <c r="AW18" s="15"/>
      <c r="AX18" s="5"/>
      <c r="AY18" s="16"/>
      <c r="AZ18" s="11"/>
      <c r="BH18" s="71" t="s">
        <v>125</v>
      </c>
      <c r="BI18" s="76" t="s">
        <v>596</v>
      </c>
      <c r="BJ18" s="72" t="s">
        <v>598</v>
      </c>
      <c r="BM18" s="37" t="s">
        <v>69</v>
      </c>
      <c r="BN18" s="46">
        <f>IF(M15 &lt;&gt; "", VLOOKUP(CONCATENATE("P", M15), pointsSystem, 2, FALSE), 0)</f>
        <v>0</v>
      </c>
      <c r="BO18" s="6">
        <f>IF(N15 &lt;&gt; "", VLOOKUP(CONCATENATE("P", N15), pointsSystem, 3, FALSE), 0)</f>
        <v>0</v>
      </c>
      <c r="BP18" s="47">
        <f>IF(O15 &lt;&gt; "", VLOOKUP(CONCATENATE("P", O15), pointsSystem, 4, FALSE), 0)</f>
        <v>0</v>
      </c>
      <c r="BQ18" s="46">
        <f>IF(P15 &lt;&gt; "", VLOOKUP(CONCATENATE("P", P15), pointsSystem, 2, FALSE), 0)</f>
        <v>0</v>
      </c>
      <c r="BR18" s="6">
        <f>IF(Q15 &lt;&gt; "", VLOOKUP(CONCATENATE("P", Q15), pointsSystem, 3, FALSE), 0)</f>
        <v>0</v>
      </c>
      <c r="BS18" s="47">
        <f>IF(R15 &lt;&gt; "", VLOOKUP(CONCATENATE("P", R15), pointsSystem, 4, FALSE), 0)</f>
        <v>0</v>
      </c>
      <c r="BT18" s="46">
        <f>IF(S15 &lt;&gt; "", VLOOKUP(CONCATENATE("P", S15), pointsSystem, 2, FALSE), 0)</f>
        <v>0</v>
      </c>
      <c r="BU18" s="6">
        <f>IF(T15 &lt;&gt; "", VLOOKUP(CONCATENATE("P", T15), pointsSystem, 3, FALSE), 0)</f>
        <v>0</v>
      </c>
      <c r="BV18" s="47">
        <f>IF(U15 &lt;&gt; "", VLOOKUP(CONCATENATE("P", U15), pointsSystem, 4, FALSE), 0)</f>
        <v>0</v>
      </c>
      <c r="BW18" s="46">
        <f>IF(V15 &lt;&gt; "", VLOOKUP(CONCATENATE("P", V15), pointsSystem, 2, FALSE), 0)</f>
        <v>0</v>
      </c>
      <c r="BX18" s="6">
        <f>IF(W15 &lt;&gt; "", VLOOKUP(CONCATENATE("P", W15), pointsSystem, 3, FALSE), 0)</f>
        <v>0</v>
      </c>
      <c r="BY18" s="47">
        <f>IF(X15 &lt;&gt; "", VLOOKUP(CONCATENATE("P", X15), pointsSystem, 4, FALSE), 0)</f>
        <v>0</v>
      </c>
      <c r="BZ18" s="46">
        <f>IF(Y15 &lt;&gt; "", VLOOKUP(CONCATENATE("P", Y15), pointsSystem, 2, FALSE), 0)</f>
        <v>0</v>
      </c>
      <c r="CA18" s="6">
        <f>IF(Z15 &lt;&gt; "", VLOOKUP(CONCATENATE("P", Z15), pointsSystem, 3, FALSE), 0)</f>
        <v>0</v>
      </c>
      <c r="CB18" s="47">
        <f>IF(AA15 &lt;&gt; "", VLOOKUP(CONCATENATE("P", AA15), pointsSystem, 4, FALSE), 0)</f>
        <v>0</v>
      </c>
      <c r="CC18" s="46">
        <f>IF(AB15 &lt;&gt; "", VLOOKUP(CONCATENATE("P", AB15), pointsSystem, 2, FALSE), 0)</f>
        <v>0</v>
      </c>
      <c r="CD18" s="6">
        <f>IF(AC15 &lt;&gt; "", VLOOKUP(CONCATENATE("P", AC15), pointsSystem, 3, FALSE), 0)</f>
        <v>0</v>
      </c>
      <c r="CE18" s="47">
        <f>IF(AD15 &lt;&gt; "", VLOOKUP(CONCATENATE("P", AD15), pointsSystem, 4, FALSE), 0)</f>
        <v>0</v>
      </c>
      <c r="CF18" s="46">
        <f>IF(AE15 &lt;&gt; "", VLOOKUP(CONCATENATE("P", AE15), pointsSystem, 2, FALSE), 0)</f>
        <v>0</v>
      </c>
      <c r="CG18" s="6">
        <f>IF(AF15 &lt;&gt; "", VLOOKUP(CONCATENATE("P", AF15), pointsSystem, 3, FALSE), 0)</f>
        <v>0</v>
      </c>
      <c r="CH18" s="47">
        <f>IF(AG15 &lt;&gt; "", VLOOKUP(CONCATENATE("P", AG15), pointsSystem, 4, FALSE), 0)</f>
        <v>0</v>
      </c>
      <c r="CI18" s="46">
        <f>IF(AH15 &lt;&gt; "", VLOOKUP(CONCATENATE("P", AH15), pointsSystem, 2, FALSE), 0)</f>
        <v>0</v>
      </c>
      <c r="CJ18" s="6">
        <f>IF(AI15 &lt;&gt; "", VLOOKUP(CONCATENATE("P", AI15), pointsSystem, 3, FALSE), 0)</f>
        <v>0</v>
      </c>
      <c r="CK18" s="47">
        <f>IF(AJ15 &lt;&gt; "", VLOOKUP(CONCATENATE("P", AJ15), pointsSystem, 4, FALSE), 0)</f>
        <v>0</v>
      </c>
      <c r="CL18" s="46">
        <f>IF(AK15 &lt;&gt; "", VLOOKUP(CONCATENATE("P", AK15), pointsSystem, 2, FALSE), 0)</f>
        <v>0</v>
      </c>
      <c r="CM18" s="6">
        <f>IF(AL15 &lt;&gt; "", VLOOKUP(CONCATENATE("P", AL15), pointsSystem, 3, FALSE), 0)</f>
        <v>0</v>
      </c>
      <c r="CN18" s="47">
        <f>IF(AM15 &lt;&gt; "", VLOOKUP(CONCATENATE("P", AM15), pointsSystem, 4, FALSE), 0)</f>
        <v>0</v>
      </c>
      <c r="CO18" s="46">
        <f>IF(AN15 &lt;&gt; "", VLOOKUP(CONCATENATE("P", AN15), pointsSystem, 2, FALSE), 0)</f>
        <v>0</v>
      </c>
      <c r="CP18" s="6">
        <f>IF(AO15 &lt;&gt; "", VLOOKUP(CONCATENATE("P", AO15), pointsSystem, 3, FALSE), 0)</f>
        <v>0</v>
      </c>
      <c r="CQ18" s="47">
        <f>IF(AP15 &lt;&gt; "", VLOOKUP(CONCATENATE("P", AP15), pointsSystem, 4, FALSE), 0)</f>
        <v>0</v>
      </c>
      <c r="CR18" s="46">
        <f>IF(AQ15 &lt;&gt; "", VLOOKUP(CONCATENATE("P", AQ15), pointsSystem, 2, FALSE), 0)</f>
        <v>0</v>
      </c>
      <c r="CS18" s="6">
        <f>IF(AR15 &lt;&gt; "", VLOOKUP(CONCATENATE("P", AR15), pointsSystem, 3, FALSE), 0)</f>
        <v>0</v>
      </c>
      <c r="CT18" s="47">
        <f>IF(AS15 &lt;&gt; "", VLOOKUP(CONCATENATE("P", AS15), pointsSystem, 4, FALSE), 0)</f>
        <v>0</v>
      </c>
      <c r="CU18" s="46">
        <f>IF(AT15 &lt;&gt; "", VLOOKUP(CONCATENATE("P", AT15), pointsSystem, 2, FALSE), 0)</f>
        <v>0</v>
      </c>
      <c r="CV18" s="6">
        <f>IF(AU15 &lt;&gt; "", VLOOKUP(CONCATENATE("P", AU15), pointsSystem, 3, FALSE), 0)</f>
        <v>0</v>
      </c>
      <c r="CW18" s="47">
        <f>IF(AV15 &lt;&gt; "", VLOOKUP(CONCATENATE("P", AV15), pointsSystem, 4, FALSE), 0)</f>
        <v>0</v>
      </c>
      <c r="CX18" s="46">
        <f>IF(AW15 &lt;&gt; "", VLOOKUP(CONCATENATE("P", AW15), pointsSystem, 2, FALSE), 0)</f>
        <v>0</v>
      </c>
      <c r="CY18" s="6">
        <f>IF(AX15 &lt;&gt; "", VLOOKUP(CONCATENATE("P", AX15), pointsSystem, 3, FALSE), 0)</f>
        <v>0</v>
      </c>
      <c r="CZ18" s="47">
        <f>IF(AY15 &lt;&gt; "", VLOOKUP(CONCATENATE("P", AY15), pointsSystem, 4, FALSE), 0)</f>
        <v>0</v>
      </c>
      <c r="DA18" s="48">
        <f>AZ15 * 1</f>
        <v>0</v>
      </c>
      <c r="EU18" s="236"/>
      <c r="EV18" s="17">
        <f>LARGE((BN5:BN8, BN13:BN16, BN25:BN28), 2)</f>
        <v>0</v>
      </c>
      <c r="EW18" s="31">
        <f>LARGE((BO5:BO8, BO13:BO16, BO25:BO28), 2)</f>
        <v>0</v>
      </c>
      <c r="EX18" s="18">
        <f>LARGE((BP5:BP8, BP13:BP16, BP25:BP28), 2)</f>
        <v>0</v>
      </c>
      <c r="EY18" s="17">
        <f>LARGE((BQ5:BQ8, BQ13:BQ16, BQ25:BQ28), 2)</f>
        <v>0</v>
      </c>
      <c r="EZ18" s="31">
        <f>LARGE((BR5:BR8, BR13:BR16, BR25:BR28), 2)</f>
        <v>0</v>
      </c>
      <c r="FA18" s="18">
        <f>LARGE((BS5:BS8, BS13:BS16, BS25:BS28), 2)</f>
        <v>0</v>
      </c>
      <c r="FB18" s="17">
        <f>LARGE((BT5:BT8, BT13:BT16, BT25:BT28), 2)</f>
        <v>0</v>
      </c>
      <c r="FC18" s="31">
        <f>LARGE((BU5:BU8, BU13:BU16, BU25:BU28), 2)</f>
        <v>0</v>
      </c>
      <c r="FD18" s="18">
        <f>LARGE((BV5:BV8, BV13:BV16, BV25:BV28), 2)</f>
        <v>0</v>
      </c>
      <c r="FE18" s="17">
        <f>LARGE((BW5:BW8, BW13:BW16, BW25:BW28), 2)</f>
        <v>0</v>
      </c>
      <c r="FF18" s="31">
        <f>LARGE((BX5:BX8, BX13:BX16, BX25:BX28), 2)</f>
        <v>0</v>
      </c>
      <c r="FG18" s="18">
        <f>LARGE((BY5:BY8, BY13:BY16, BY25:BY28), 2)</f>
        <v>0</v>
      </c>
      <c r="FH18" s="17">
        <f>LARGE((BZ5:BZ8, BZ13:BZ16, BZ25:BZ28), 2)</f>
        <v>0</v>
      </c>
      <c r="FI18" s="31">
        <f>LARGE((CA5:CA8, CA13:CA16, CA25:CA28), 2)</f>
        <v>0</v>
      </c>
      <c r="FJ18" s="18">
        <f>LARGE((CB5:CB8, CB13:CB16, CB25:CB28), 2)</f>
        <v>0</v>
      </c>
      <c r="FK18" s="17">
        <f>LARGE((CC5:CC8, CC13:CC16, CC25:CC28), 2)</f>
        <v>0</v>
      </c>
      <c r="FL18" s="31">
        <f>LARGE((CD5:CD8, CD13:CD16, CD25:CD28), 2)</f>
        <v>0</v>
      </c>
      <c r="FM18" s="18">
        <f>LARGE((CE5:CE8, CE13:CE16, CE25:CE28), 2)</f>
        <v>0</v>
      </c>
      <c r="FN18" s="17">
        <f>LARGE((CF5:CF8, CF13:CF16, CF25:CF28), 2)</f>
        <v>0</v>
      </c>
      <c r="FO18" s="31">
        <f>LARGE((CG5:CG8, CG13:CG16, CG25:CG28), 2)</f>
        <v>0</v>
      </c>
      <c r="FP18" s="18">
        <f>LARGE((CH5:CH8, CH13:CH16, CH25:CH28), 2)</f>
        <v>0</v>
      </c>
      <c r="FQ18" s="86">
        <f>LARGE((CI5:CI8, CI13:CI16, CI25:CI28), 2)</f>
        <v>0</v>
      </c>
      <c r="FR18" s="31">
        <f>LARGE((CJ5:CJ8, CJ13:CJ16, CJ25:CJ28), 2)</f>
        <v>0</v>
      </c>
      <c r="FS18" s="50">
        <f>LARGE((CK5:CK8, CK13:CK16, CK25:CK28), 2)</f>
        <v>0</v>
      </c>
      <c r="FT18" s="17">
        <f>LARGE((CL5:CL8, CL13:CL16, CL25:CL28), 2)</f>
        <v>0</v>
      </c>
      <c r="FU18" s="31">
        <f>LARGE((CM5:CM8, CM13:CM16, CM25:CM28), 2)</f>
        <v>0</v>
      </c>
      <c r="FV18" s="18">
        <f>LARGE((CN5:CN8, CN13:CN16, CN25:CN28), 2)</f>
        <v>0</v>
      </c>
      <c r="FW18" s="17">
        <f>LARGE((CO5:CO8, CO13:CO16, CO25:CO28), 2)</f>
        <v>0</v>
      </c>
      <c r="FX18" s="31">
        <f>LARGE((CP5:CP8, CP13:CP16, CP25:CP28), 2)</f>
        <v>0</v>
      </c>
      <c r="FY18" s="18">
        <f>LARGE((CQ5:CQ8, CQ13:CQ16, CQ25:CQ28), 2)</f>
        <v>0</v>
      </c>
      <c r="FZ18" s="17">
        <f>LARGE((CR5:CR8, CR13:CR16, CR25:CR28), 2)</f>
        <v>0</v>
      </c>
      <c r="GA18" s="31">
        <f>LARGE((CS5:CS8, CS13:CS16, CS25:CS28), 2)</f>
        <v>0</v>
      </c>
      <c r="GB18" s="18">
        <f>LARGE((CT5:CT8, CT13:CT16, CT25:CT28), 2)</f>
        <v>0</v>
      </c>
      <c r="GC18" s="17">
        <f>LARGE((CU5:CU8, CU13:CU16, CU25:CU28), 2)</f>
        <v>0</v>
      </c>
      <c r="GD18" s="31">
        <f>LARGE((CV5:CV8, CV13:CV16, CV25:CV28), 2)</f>
        <v>0</v>
      </c>
      <c r="GE18" s="18">
        <f>LARGE((CW5:CW8, CW13:CW16, CW25:CW28), 2)</f>
        <v>0</v>
      </c>
      <c r="GF18" s="17">
        <f>LARGE((CX5:CX8, CX13:CX16, CX25:CX28), 2)</f>
        <v>0</v>
      </c>
      <c r="GG18" s="31">
        <f>LARGE((CY5:CY8, CY13:CY16, CY25:CY28), 2)</f>
        <v>0</v>
      </c>
      <c r="GH18" s="18">
        <f>LARGE((CZ5:CZ8, CZ13:CZ16, CZ25:CZ28), 2)</f>
        <v>0</v>
      </c>
      <c r="GI18" s="227"/>
      <c r="GL18" s="192"/>
    </row>
    <row r="19" spans="2:194" ht="16.8" customHeight="1" thickBot="1" x14ac:dyDescent="0.35">
      <c r="B19" s="8" t="s">
        <v>48</v>
      </c>
      <c r="C19" s="40" t="s">
        <v>274</v>
      </c>
      <c r="D19" s="40" t="s">
        <v>73</v>
      </c>
      <c r="E19" s="40" t="s">
        <v>325</v>
      </c>
      <c r="F19" s="69" t="s">
        <v>5</v>
      </c>
      <c r="G19" s="74" t="s">
        <v>9</v>
      </c>
      <c r="H19" s="72" t="s">
        <v>12</v>
      </c>
      <c r="I19" s="11">
        <f>SUM(BN23:DA23)</f>
        <v>0</v>
      </c>
      <c r="L19" s="40" t="s">
        <v>73</v>
      </c>
      <c r="M19" s="15"/>
      <c r="N19" s="5"/>
      <c r="O19" s="16"/>
      <c r="P19" s="15"/>
      <c r="Q19" s="5"/>
      <c r="R19" s="16"/>
      <c r="S19" s="15"/>
      <c r="T19" s="5"/>
      <c r="U19" s="16"/>
      <c r="V19" s="15"/>
      <c r="W19" s="5"/>
      <c r="X19" s="16"/>
      <c r="Y19" s="15"/>
      <c r="Z19" s="5"/>
      <c r="AA19" s="16"/>
      <c r="AB19" s="15"/>
      <c r="AC19" s="5"/>
      <c r="AD19" s="16"/>
      <c r="AE19" s="15"/>
      <c r="AF19" s="5"/>
      <c r="AG19" s="16"/>
      <c r="AH19" s="15"/>
      <c r="AI19" s="5"/>
      <c r="AJ19" s="16"/>
      <c r="AK19" s="15"/>
      <c r="AL19" s="5"/>
      <c r="AM19" s="16"/>
      <c r="AN19" s="15"/>
      <c r="AO19" s="5"/>
      <c r="AP19" s="16"/>
      <c r="AQ19" s="15"/>
      <c r="AR19" s="5"/>
      <c r="AS19" s="16"/>
      <c r="AT19" s="15"/>
      <c r="AU19" s="5"/>
      <c r="AV19" s="16"/>
      <c r="AW19" s="15"/>
      <c r="AX19" s="5"/>
      <c r="AY19" s="16"/>
      <c r="AZ19" s="11"/>
      <c r="BH19" s="71" t="s">
        <v>125</v>
      </c>
      <c r="BI19" s="76" t="s">
        <v>596</v>
      </c>
      <c r="BJ19" s="72" t="s">
        <v>598</v>
      </c>
      <c r="BM19" s="37" t="s">
        <v>70</v>
      </c>
      <c r="BN19" s="46">
        <f>IF(M16 &lt;&gt; "", VLOOKUP(CONCATENATE("P", M16), pointsSystem, 2, FALSE), 0)</f>
        <v>0</v>
      </c>
      <c r="BO19" s="6">
        <f>IF(N16 &lt;&gt; "", VLOOKUP(CONCATENATE("P", N16), pointsSystem, 3, FALSE), 0)</f>
        <v>0</v>
      </c>
      <c r="BP19" s="47">
        <f>IF(O16 &lt;&gt; "", VLOOKUP(CONCATENATE("P", O16), pointsSystem, 4, FALSE), 0)</f>
        <v>0</v>
      </c>
      <c r="BQ19" s="46">
        <f>IF(P16 &lt;&gt; "", VLOOKUP(CONCATENATE("P", P16), pointsSystem, 2, FALSE), 0)</f>
        <v>0</v>
      </c>
      <c r="BR19" s="6">
        <f>IF(Q16 &lt;&gt; "", VLOOKUP(CONCATENATE("P", Q16), pointsSystem, 3, FALSE), 0)</f>
        <v>0</v>
      </c>
      <c r="BS19" s="47">
        <f>IF(R16 &lt;&gt; "", VLOOKUP(CONCATENATE("P", R16), pointsSystem, 4, FALSE), 0)</f>
        <v>0</v>
      </c>
      <c r="BT19" s="46">
        <f>IF(S16 &lt;&gt; "", VLOOKUP(CONCATENATE("P", S16), pointsSystem, 2, FALSE), 0)</f>
        <v>0</v>
      </c>
      <c r="BU19" s="6">
        <f>IF(T16 &lt;&gt; "", VLOOKUP(CONCATENATE("P", T16), pointsSystem, 3, FALSE), 0)</f>
        <v>0</v>
      </c>
      <c r="BV19" s="47">
        <f>IF(U16 &lt;&gt; "", VLOOKUP(CONCATENATE("P", U16), pointsSystem, 4, FALSE), 0)</f>
        <v>0</v>
      </c>
      <c r="BW19" s="46">
        <f>IF(V16 &lt;&gt; "", VLOOKUP(CONCATENATE("P", V16), pointsSystem, 2, FALSE), 0)</f>
        <v>0</v>
      </c>
      <c r="BX19" s="6">
        <f>IF(W16 &lt;&gt; "", VLOOKUP(CONCATENATE("P", W16), pointsSystem, 3, FALSE), 0)</f>
        <v>0</v>
      </c>
      <c r="BY19" s="47">
        <f>IF(X16 &lt;&gt; "", VLOOKUP(CONCATENATE("P", X16), pointsSystem, 4, FALSE), 0)</f>
        <v>0</v>
      </c>
      <c r="BZ19" s="46">
        <f>IF(Y16 &lt;&gt; "", VLOOKUP(CONCATENATE("P", Y16), pointsSystem, 2, FALSE), 0)</f>
        <v>0</v>
      </c>
      <c r="CA19" s="6">
        <f>IF(Z16 &lt;&gt; "", VLOOKUP(CONCATENATE("P", Z16), pointsSystem, 3, FALSE), 0)</f>
        <v>0</v>
      </c>
      <c r="CB19" s="47">
        <f>IF(AA16 &lt;&gt; "", VLOOKUP(CONCATENATE("P", AA16), pointsSystem, 4, FALSE), 0)</f>
        <v>0</v>
      </c>
      <c r="CC19" s="46">
        <f>IF(AB16 &lt;&gt; "", VLOOKUP(CONCATENATE("P", AB16), pointsSystem, 2, FALSE), 0)</f>
        <v>0</v>
      </c>
      <c r="CD19" s="6">
        <f>IF(AC16 &lt;&gt; "", VLOOKUP(CONCATENATE("P", AC16), pointsSystem, 3, FALSE), 0)</f>
        <v>0</v>
      </c>
      <c r="CE19" s="47">
        <f>IF(AD16 &lt;&gt; "", VLOOKUP(CONCATENATE("P", AD16), pointsSystem, 4, FALSE), 0)</f>
        <v>0</v>
      </c>
      <c r="CF19" s="46">
        <f>IF(AE16 &lt;&gt; "", VLOOKUP(CONCATENATE("P", AE16), pointsSystem, 2, FALSE), 0)</f>
        <v>0</v>
      </c>
      <c r="CG19" s="6">
        <f>IF(AF16 &lt;&gt; "", VLOOKUP(CONCATENATE("P", AF16), pointsSystem, 3, FALSE), 0)</f>
        <v>0</v>
      </c>
      <c r="CH19" s="47">
        <f>IF(AG16 &lt;&gt; "", VLOOKUP(CONCATENATE("P", AG16), pointsSystem, 4, FALSE), 0)</f>
        <v>0</v>
      </c>
      <c r="CI19" s="46">
        <f>IF(AH16 &lt;&gt; "", VLOOKUP(CONCATENATE("P", AH16), pointsSystem, 2, FALSE), 0)</f>
        <v>0</v>
      </c>
      <c r="CJ19" s="6">
        <f>IF(AI16 &lt;&gt; "", VLOOKUP(CONCATENATE("P", AI16), pointsSystem, 3, FALSE), 0)</f>
        <v>0</v>
      </c>
      <c r="CK19" s="47">
        <f>IF(AJ16 &lt;&gt; "", VLOOKUP(CONCATENATE("P", AJ16), pointsSystem, 4, FALSE), 0)</f>
        <v>0</v>
      </c>
      <c r="CL19" s="46">
        <f>IF(AK16 &lt;&gt; "", VLOOKUP(CONCATENATE("P", AK16), pointsSystem, 2, FALSE), 0)</f>
        <v>0</v>
      </c>
      <c r="CM19" s="6">
        <f>IF(AL16 &lt;&gt; "", VLOOKUP(CONCATENATE("P", AL16), pointsSystem, 3, FALSE), 0)</f>
        <v>0</v>
      </c>
      <c r="CN19" s="47">
        <f>IF(AM16 &lt;&gt; "", VLOOKUP(CONCATENATE("P", AM16), pointsSystem, 4, FALSE), 0)</f>
        <v>0</v>
      </c>
      <c r="CO19" s="46">
        <f>IF(AN16 &lt;&gt; "", VLOOKUP(CONCATENATE("P", AN16), pointsSystem, 2, FALSE), 0)</f>
        <v>0</v>
      </c>
      <c r="CP19" s="6">
        <f>IF(AO16 &lt;&gt; "", VLOOKUP(CONCATENATE("P", AO16), pointsSystem, 3, FALSE), 0)</f>
        <v>0</v>
      </c>
      <c r="CQ19" s="47">
        <f>IF(AP16 &lt;&gt; "", VLOOKUP(CONCATENATE("P", AP16), pointsSystem, 4, FALSE), 0)</f>
        <v>0</v>
      </c>
      <c r="CR19" s="46">
        <f>IF(AQ16 &lt;&gt; "", VLOOKUP(CONCATENATE("P", AQ16), pointsSystem, 2, FALSE), 0)</f>
        <v>0</v>
      </c>
      <c r="CS19" s="6">
        <f>IF(AR16 &lt;&gt; "", VLOOKUP(CONCATENATE("P", AR16), pointsSystem, 3, FALSE), 0)</f>
        <v>0</v>
      </c>
      <c r="CT19" s="47">
        <f>IF(AS16 &lt;&gt; "", VLOOKUP(CONCATENATE("P", AS16), pointsSystem, 4, FALSE), 0)</f>
        <v>0</v>
      </c>
      <c r="CU19" s="46">
        <f>IF(AT16 &lt;&gt; "", VLOOKUP(CONCATENATE("P", AT16), pointsSystem, 2, FALSE), 0)</f>
        <v>0</v>
      </c>
      <c r="CV19" s="6">
        <f>IF(AU16 &lt;&gt; "", VLOOKUP(CONCATENATE("P", AU16), pointsSystem, 3, FALSE), 0)</f>
        <v>0</v>
      </c>
      <c r="CW19" s="47">
        <f>IF(AV16 &lt;&gt; "", VLOOKUP(CONCATENATE("P", AV16), pointsSystem, 4, FALSE), 0)</f>
        <v>0</v>
      </c>
      <c r="CX19" s="46">
        <f>IF(AW16 &lt;&gt; "", VLOOKUP(CONCATENATE("P", AW16), pointsSystem, 2, FALSE), 0)</f>
        <v>0</v>
      </c>
      <c r="CY19" s="6">
        <f>IF(AX16 &lt;&gt; "", VLOOKUP(CONCATENATE("P", AX16), pointsSystem, 3, FALSE), 0)</f>
        <v>0</v>
      </c>
      <c r="CZ19" s="47">
        <f>IF(AY16 &lt;&gt; "", VLOOKUP(CONCATENATE("P", AY16), pointsSystem, 4, FALSE), 0)</f>
        <v>0</v>
      </c>
      <c r="DA19" s="48">
        <f>AZ16 * 1</f>
        <v>0</v>
      </c>
      <c r="EU19" s="234" t="s">
        <v>7</v>
      </c>
      <c r="EV19" s="13">
        <f>MAX(BN29:BN32, BN37:BN40)</f>
        <v>0</v>
      </c>
      <c r="EW19" s="30">
        <f t="shared" ref="EW19:GG19" si="98">MAX(BO29:BO32, BO37:BO40)</f>
        <v>0</v>
      </c>
      <c r="EX19" s="14">
        <f t="shared" si="98"/>
        <v>0</v>
      </c>
      <c r="EY19" s="13">
        <f t="shared" si="98"/>
        <v>0</v>
      </c>
      <c r="EZ19" s="30">
        <f t="shared" si="98"/>
        <v>0</v>
      </c>
      <c r="FA19" s="14">
        <f t="shared" si="98"/>
        <v>0</v>
      </c>
      <c r="FB19" s="13">
        <f t="shared" si="98"/>
        <v>0</v>
      </c>
      <c r="FC19" s="30">
        <f t="shared" si="98"/>
        <v>0</v>
      </c>
      <c r="FD19" s="14">
        <f t="shared" si="98"/>
        <v>0</v>
      </c>
      <c r="FE19" s="13">
        <f t="shared" si="98"/>
        <v>0</v>
      </c>
      <c r="FF19" s="30">
        <f t="shared" si="98"/>
        <v>0</v>
      </c>
      <c r="FG19" s="14">
        <f t="shared" si="98"/>
        <v>0</v>
      </c>
      <c r="FH19" s="13">
        <f t="shared" si="98"/>
        <v>0</v>
      </c>
      <c r="FI19" s="30">
        <f t="shared" si="98"/>
        <v>0</v>
      </c>
      <c r="FJ19" s="14">
        <f t="shared" si="98"/>
        <v>0</v>
      </c>
      <c r="FK19" s="13">
        <f t="shared" si="98"/>
        <v>0</v>
      </c>
      <c r="FL19" s="30">
        <f t="shared" si="98"/>
        <v>0</v>
      </c>
      <c r="FM19" s="14">
        <f t="shared" si="98"/>
        <v>0</v>
      </c>
      <c r="FN19" s="13">
        <f t="shared" si="98"/>
        <v>0</v>
      </c>
      <c r="FO19" s="30">
        <f t="shared" si="98"/>
        <v>0</v>
      </c>
      <c r="FP19" s="14">
        <f t="shared" si="98"/>
        <v>0</v>
      </c>
      <c r="FQ19" s="85">
        <f t="shared" si="98"/>
        <v>0</v>
      </c>
      <c r="FR19" s="30">
        <f t="shared" si="98"/>
        <v>0</v>
      </c>
      <c r="FS19" s="49">
        <f t="shared" si="98"/>
        <v>0</v>
      </c>
      <c r="FT19" s="13">
        <f t="shared" si="98"/>
        <v>0</v>
      </c>
      <c r="FU19" s="30">
        <f t="shared" si="98"/>
        <v>0</v>
      </c>
      <c r="FV19" s="14">
        <f t="shared" si="98"/>
        <v>0</v>
      </c>
      <c r="FW19" s="13">
        <f t="shared" si="98"/>
        <v>0</v>
      </c>
      <c r="FX19" s="30">
        <f t="shared" si="98"/>
        <v>0</v>
      </c>
      <c r="FY19" s="14">
        <f t="shared" si="98"/>
        <v>0</v>
      </c>
      <c r="FZ19" s="13">
        <f t="shared" si="98"/>
        <v>0</v>
      </c>
      <c r="GA19" s="30">
        <f t="shared" si="98"/>
        <v>0</v>
      </c>
      <c r="GB19" s="14">
        <f t="shared" si="98"/>
        <v>0</v>
      </c>
      <c r="GC19" s="13">
        <f t="shared" si="98"/>
        <v>0</v>
      </c>
      <c r="GD19" s="30">
        <f t="shared" si="98"/>
        <v>0</v>
      </c>
      <c r="GE19" s="14">
        <f t="shared" si="98"/>
        <v>0</v>
      </c>
      <c r="GF19" s="13">
        <f t="shared" si="98"/>
        <v>0</v>
      </c>
      <c r="GG19" s="30">
        <f t="shared" si="98"/>
        <v>0</v>
      </c>
      <c r="GH19" s="14">
        <f>MAX(CZ29:CZ32, CZ37:CZ40)</f>
        <v>0</v>
      </c>
      <c r="GI19" s="226">
        <f>SUM(DA29:DA32, DA37:DA40)</f>
        <v>0</v>
      </c>
      <c r="GL19" s="192">
        <f>SUM(EV19:GI20)</f>
        <v>0</v>
      </c>
    </row>
    <row r="20" spans="2:194" ht="16.8" customHeight="1" thickBot="1" x14ac:dyDescent="0.35">
      <c r="B20" s="8" t="s">
        <v>49</v>
      </c>
      <c r="C20" s="65" t="s">
        <v>328</v>
      </c>
      <c r="D20" s="65" t="s">
        <v>74</v>
      </c>
      <c r="E20" s="65" t="s">
        <v>339</v>
      </c>
      <c r="F20" s="71" t="s">
        <v>6</v>
      </c>
      <c r="G20" s="75" t="s">
        <v>8</v>
      </c>
      <c r="H20" s="72" t="s">
        <v>12</v>
      </c>
      <c r="I20" s="11">
        <f>SUM(BN25:DA25)</f>
        <v>0</v>
      </c>
      <c r="L20" s="65" t="s">
        <v>74</v>
      </c>
      <c r="M20" s="15"/>
      <c r="N20" s="5"/>
      <c r="O20" s="16"/>
      <c r="P20" s="15"/>
      <c r="Q20" s="5"/>
      <c r="R20" s="16"/>
      <c r="S20" s="15"/>
      <c r="T20" s="5"/>
      <c r="U20" s="16"/>
      <c r="V20" s="15"/>
      <c r="W20" s="5"/>
      <c r="X20" s="16"/>
      <c r="Y20" s="15"/>
      <c r="Z20" s="5"/>
      <c r="AA20" s="16"/>
      <c r="AB20" s="15"/>
      <c r="AC20" s="5"/>
      <c r="AD20" s="16"/>
      <c r="AE20" s="15"/>
      <c r="AF20" s="5"/>
      <c r="AG20" s="16"/>
      <c r="AH20" s="15"/>
      <c r="AI20" s="5"/>
      <c r="AJ20" s="16"/>
      <c r="AK20" s="15"/>
      <c r="AL20" s="5"/>
      <c r="AM20" s="16"/>
      <c r="AN20" s="15"/>
      <c r="AO20" s="5"/>
      <c r="AP20" s="16"/>
      <c r="AQ20" s="15"/>
      <c r="AR20" s="5"/>
      <c r="AS20" s="16"/>
      <c r="AT20" s="15"/>
      <c r="AU20" s="5"/>
      <c r="AV20" s="16"/>
      <c r="AW20" s="15"/>
      <c r="AX20" s="5"/>
      <c r="AY20" s="16"/>
      <c r="AZ20" s="11"/>
      <c r="BH20" s="71" t="s">
        <v>125</v>
      </c>
      <c r="BI20" s="76" t="s">
        <v>596</v>
      </c>
      <c r="BJ20" s="72" t="s">
        <v>598</v>
      </c>
      <c r="BM20" s="37" t="s">
        <v>340</v>
      </c>
      <c r="BN20" s="46">
        <f>IF(M40 &lt;&gt; "", VLOOKUP(CONCATENATE("P", M40), pointsSystem, 2, FALSE), 0)</f>
        <v>0</v>
      </c>
      <c r="BO20" s="6">
        <f>IF(N40 &lt;&gt; "", VLOOKUP(CONCATENATE("P", N40), pointsSystem, 3, FALSE), 0)</f>
        <v>0</v>
      </c>
      <c r="BP20" s="47">
        <f>IF(O40 &lt;&gt; "", VLOOKUP(CONCATENATE("P", O40), pointsSystem, 4, FALSE), 0)</f>
        <v>0</v>
      </c>
      <c r="BQ20" s="46">
        <f>IF(P40 &lt;&gt; "", VLOOKUP(CONCATENATE("P", P40), pointsSystem, 2, FALSE), 0)</f>
        <v>0</v>
      </c>
      <c r="BR20" s="6">
        <f>IF(Q40 &lt;&gt; "", VLOOKUP(CONCATENATE("P", Q40), pointsSystem, 3, FALSE), 0)</f>
        <v>0</v>
      </c>
      <c r="BS20" s="47">
        <f>IF(R40 &lt;&gt; "", VLOOKUP(CONCATENATE("P", R40), pointsSystem, 4, FALSE), 0)</f>
        <v>0</v>
      </c>
      <c r="BT20" s="46">
        <f>IF(S40 &lt;&gt; "", VLOOKUP(CONCATENATE("P", S40), pointsSystem, 2, FALSE), 0)</f>
        <v>0</v>
      </c>
      <c r="BU20" s="6">
        <f>IF(T40 &lt;&gt; "", VLOOKUP(CONCATENATE("P", T40), pointsSystem, 3, FALSE), 0)</f>
        <v>0</v>
      </c>
      <c r="BV20" s="47">
        <f>IF(U40 &lt;&gt; "", VLOOKUP(CONCATENATE("P", U40), pointsSystem, 4, FALSE), 0)</f>
        <v>0</v>
      </c>
      <c r="BW20" s="46">
        <f>IF(V40 &lt;&gt; "", VLOOKUP(CONCATENATE("P", V40), pointsSystem, 2, FALSE), 0)</f>
        <v>0</v>
      </c>
      <c r="BX20" s="6">
        <f>IF(W40 &lt;&gt; "", VLOOKUP(CONCATENATE("P", W40), pointsSystem, 3, FALSE), 0)</f>
        <v>0</v>
      </c>
      <c r="BY20" s="47">
        <f>IF(X40 &lt;&gt; "", VLOOKUP(CONCATENATE("P", X40), pointsSystem, 4, FALSE), 0)</f>
        <v>0</v>
      </c>
      <c r="BZ20" s="46">
        <f>IF(Y40 &lt;&gt; "", VLOOKUP(CONCATENATE("P", Y40), pointsSystem, 2, FALSE), 0)</f>
        <v>0</v>
      </c>
      <c r="CA20" s="6">
        <f>IF(Z40 &lt;&gt; "", VLOOKUP(CONCATENATE("P", Z40), pointsSystem, 3, FALSE), 0)</f>
        <v>0</v>
      </c>
      <c r="CB20" s="47">
        <f>IF(AA40 &lt;&gt; "", VLOOKUP(CONCATENATE("P", AA40), pointsSystem, 4, FALSE), 0)</f>
        <v>0</v>
      </c>
      <c r="CC20" s="46">
        <f>IF(AB40 &lt;&gt; "", VLOOKUP(CONCATENATE("P", AB40), pointsSystem, 2, FALSE), 0)</f>
        <v>0</v>
      </c>
      <c r="CD20" s="6">
        <f>IF(AC40 &lt;&gt; "", VLOOKUP(CONCATENATE("P", AC40), pointsSystem, 3, FALSE), 0)</f>
        <v>0</v>
      </c>
      <c r="CE20" s="47">
        <f>IF(AD40 &lt;&gt; "", VLOOKUP(CONCATENATE("P", AD40), pointsSystem, 4, FALSE), 0)</f>
        <v>0</v>
      </c>
      <c r="CF20" s="46">
        <f>IF(AE40 &lt;&gt; "", VLOOKUP(CONCATENATE("P", AE40), pointsSystem, 2, FALSE), 0)</f>
        <v>0</v>
      </c>
      <c r="CG20" s="6">
        <f>IF(AF40 &lt;&gt; "", VLOOKUP(CONCATENATE("P", AF40), pointsSystem, 3, FALSE), 0)</f>
        <v>0</v>
      </c>
      <c r="CH20" s="47">
        <f>IF(AG40 &lt;&gt; "", VLOOKUP(CONCATENATE("P", AG40), pointsSystem, 4, FALSE), 0)</f>
        <v>0</v>
      </c>
      <c r="CI20" s="46">
        <f>IF(AH40 &lt;&gt; "", VLOOKUP(CONCATENATE("P", AH40), pointsSystem, 2, FALSE), 0)</f>
        <v>0</v>
      </c>
      <c r="CJ20" s="6">
        <f>IF(AI40 &lt;&gt; "", VLOOKUP(CONCATENATE("P", AI40), pointsSystem, 3, FALSE), 0)</f>
        <v>0</v>
      </c>
      <c r="CK20" s="47">
        <f>IF(AJ40 &lt;&gt; "", VLOOKUP(CONCATENATE("P", AJ40), pointsSystem, 4, FALSE), 0)</f>
        <v>0</v>
      </c>
      <c r="CL20" s="46">
        <f>IF(AK40 &lt;&gt; "", VLOOKUP(CONCATENATE("P", AK40), pointsSystem, 2, FALSE), 0)</f>
        <v>0</v>
      </c>
      <c r="CM20" s="6">
        <f>IF(AL40 &lt;&gt; "", VLOOKUP(CONCATENATE("P", AL40), pointsSystem, 3, FALSE), 0)</f>
        <v>0</v>
      </c>
      <c r="CN20" s="47">
        <f>IF(AM40 &lt;&gt; "", VLOOKUP(CONCATENATE("P", AM40), pointsSystem, 4, FALSE), 0)</f>
        <v>0</v>
      </c>
      <c r="CO20" s="46">
        <f>IF(AN40 &lt;&gt; "", VLOOKUP(CONCATENATE("P", AN40), pointsSystem, 2, FALSE), 0)</f>
        <v>0</v>
      </c>
      <c r="CP20" s="6">
        <f>IF(AO40 &lt;&gt; "", VLOOKUP(CONCATENATE("P", AO40), pointsSystem, 3, FALSE), 0)</f>
        <v>0</v>
      </c>
      <c r="CQ20" s="47">
        <f>IF(AP40 &lt;&gt; "", VLOOKUP(CONCATENATE("P", AP40), pointsSystem, 4, FALSE), 0)</f>
        <v>0</v>
      </c>
      <c r="CR20" s="46">
        <f>IF(AQ40 &lt;&gt; "", VLOOKUP(CONCATENATE("P", AQ40), pointsSystem, 2, FALSE), 0)</f>
        <v>0</v>
      </c>
      <c r="CS20" s="6">
        <f>IF(AR40 &lt;&gt; "", VLOOKUP(CONCATENATE("P", AR40), pointsSystem, 3, FALSE), 0)</f>
        <v>0</v>
      </c>
      <c r="CT20" s="47">
        <f>IF(AS40 &lt;&gt; "", VLOOKUP(CONCATENATE("P", AS40), pointsSystem, 4, FALSE), 0)</f>
        <v>0</v>
      </c>
      <c r="CU20" s="46">
        <f>IF(AT40 &lt;&gt; "", VLOOKUP(CONCATENATE("P", AT40), pointsSystem, 2, FALSE), 0)</f>
        <v>0</v>
      </c>
      <c r="CV20" s="6">
        <f>IF(AU40 &lt;&gt; "", VLOOKUP(CONCATENATE("P", AU40), pointsSystem, 3, FALSE), 0)</f>
        <v>0</v>
      </c>
      <c r="CW20" s="47">
        <f>IF(AV40 &lt;&gt; "", VLOOKUP(CONCATENATE("P", AV40), pointsSystem, 4, FALSE), 0)</f>
        <v>0</v>
      </c>
      <c r="CX20" s="46">
        <f>IF(AW40 &lt;&gt; "", VLOOKUP(CONCATENATE("P", AW40), pointsSystem, 2, FALSE), 0)</f>
        <v>0</v>
      </c>
      <c r="CY20" s="6">
        <f>IF(AX40 &lt;&gt; "", VLOOKUP(CONCATENATE("P", AX40), pointsSystem, 3, FALSE), 0)</f>
        <v>0</v>
      </c>
      <c r="CZ20" s="47">
        <f>IF(AY40 &lt;&gt; "", VLOOKUP(CONCATENATE("P", AY40), pointsSystem, 4, FALSE), 0)</f>
        <v>0</v>
      </c>
      <c r="DA20" s="48">
        <f>AZ40 * 1</f>
        <v>0</v>
      </c>
      <c r="EU20" s="234"/>
      <c r="EV20" s="17">
        <f>LARGE((BN29:BN32, BN37:BN40), 2)</f>
        <v>0</v>
      </c>
      <c r="EW20" s="31">
        <f>LARGE((BO29:BO32, BO37:BO40), 2)</f>
        <v>0</v>
      </c>
      <c r="EX20" s="18">
        <f>LARGE((BP29:BP32, BP37:BP40), 2)</f>
        <v>0</v>
      </c>
      <c r="EY20" s="17">
        <f>LARGE((BQ29:BQ32, BQ37:BQ40), 2)</f>
        <v>0</v>
      </c>
      <c r="EZ20" s="31">
        <f>LARGE((BR29:BR32, BR37:BR40), 2)</f>
        <v>0</v>
      </c>
      <c r="FA20" s="18">
        <f>LARGE((BS29:BS32, BS37:BS40), 2)</f>
        <v>0</v>
      </c>
      <c r="FB20" s="17">
        <f>LARGE((BT29:BT32, BT37:BT40), 2)</f>
        <v>0</v>
      </c>
      <c r="FC20" s="31">
        <f>LARGE((BU29:BU32, BU37:BU40), 2)</f>
        <v>0</v>
      </c>
      <c r="FD20" s="18">
        <f>LARGE((BV29:BV32, BV37:BV40), 2)</f>
        <v>0</v>
      </c>
      <c r="FE20" s="17">
        <f>LARGE((BW29:BW32, BW37:BW40), 2)</f>
        <v>0</v>
      </c>
      <c r="FF20" s="31">
        <f>LARGE((BX29:BX32, BX37:BX40), 2)</f>
        <v>0</v>
      </c>
      <c r="FG20" s="18">
        <f>LARGE((BY29:BY32, BY37:BY40), 2)</f>
        <v>0</v>
      </c>
      <c r="FH20" s="17">
        <f>LARGE((BZ29:BZ32, BZ37:BZ40), 2)</f>
        <v>0</v>
      </c>
      <c r="FI20" s="31">
        <f>LARGE((CA29:CA32, CA37:CA40), 2)</f>
        <v>0</v>
      </c>
      <c r="FJ20" s="18">
        <f>LARGE((CB29:CB32, CB37:CB40), 2)</f>
        <v>0</v>
      </c>
      <c r="FK20" s="17">
        <f>LARGE((CC29:CC32, CC37:CC40), 2)</f>
        <v>0</v>
      </c>
      <c r="FL20" s="31">
        <f>LARGE((CD29:CD32, CD37:CD40), 2)</f>
        <v>0</v>
      </c>
      <c r="FM20" s="18">
        <f>LARGE((CE29:CE32, CE37:CE40), 2)</f>
        <v>0</v>
      </c>
      <c r="FN20" s="17">
        <f>LARGE((CF29:CF32, CF37:CF40), 2)</f>
        <v>0</v>
      </c>
      <c r="FO20" s="31">
        <f>LARGE((CG29:CG32, CG37:CG40), 2)</f>
        <v>0</v>
      </c>
      <c r="FP20" s="18">
        <f>LARGE((CH29:CH32, CH37:CH40), 2)</f>
        <v>0</v>
      </c>
      <c r="FQ20" s="86">
        <f>LARGE((CI29:CI32, CI37:CI40), 2)</f>
        <v>0</v>
      </c>
      <c r="FR20" s="31">
        <f>LARGE((CJ29:CJ32, CJ37:CJ40), 2)</f>
        <v>0</v>
      </c>
      <c r="FS20" s="50">
        <f>LARGE((CK29:CK32, CK37:CK40), 2)</f>
        <v>0</v>
      </c>
      <c r="FT20" s="17">
        <f>LARGE((CL29:CL32, CL37:CL40), 2)</f>
        <v>0</v>
      </c>
      <c r="FU20" s="31">
        <f>LARGE((CM29:CM32, CM37:CM40), 2)</f>
        <v>0</v>
      </c>
      <c r="FV20" s="18">
        <f>LARGE((CN29:CN32, CN37:CN40), 2)</f>
        <v>0</v>
      </c>
      <c r="FW20" s="17">
        <f>LARGE((CO29:CO32, CO37:CO40), 2)</f>
        <v>0</v>
      </c>
      <c r="FX20" s="31">
        <f>LARGE((CP29:CP32, CP37:CP40), 2)</f>
        <v>0</v>
      </c>
      <c r="FY20" s="18">
        <f>LARGE((CQ29:CQ32, CQ37:CQ40), 2)</f>
        <v>0</v>
      </c>
      <c r="FZ20" s="17">
        <f>LARGE((CR29:CR32, CR37:CR40), 2)</f>
        <v>0</v>
      </c>
      <c r="GA20" s="31">
        <f>LARGE((CS29:CS32, CS37:CS40), 2)</f>
        <v>0</v>
      </c>
      <c r="GB20" s="18">
        <f>LARGE((CT29:CT32, CT37:CT40), 2)</f>
        <v>0</v>
      </c>
      <c r="GC20" s="17">
        <f>LARGE((CU29:CU32, CU37:CU40), 2)</f>
        <v>0</v>
      </c>
      <c r="GD20" s="31">
        <f>LARGE((CV29:CV32, CV37:CV40), 2)</f>
        <v>0</v>
      </c>
      <c r="GE20" s="18">
        <f>LARGE((CW29:CW32, CW37:CW40), 2)</f>
        <v>0</v>
      </c>
      <c r="GF20" s="17">
        <f>LARGE((CX29:CX32, CX37:CX40), 2)</f>
        <v>0</v>
      </c>
      <c r="GG20" s="31">
        <f>LARGE((CY29:CY32, CY37:CY40), 2)</f>
        <v>0</v>
      </c>
      <c r="GH20" s="18">
        <f>LARGE((CZ29:CZ32, CZ37:CZ40), 2)</f>
        <v>0</v>
      </c>
      <c r="GI20" s="227"/>
      <c r="GL20" s="192"/>
    </row>
    <row r="21" spans="2:194" ht="16.8" customHeight="1" thickBot="1" x14ac:dyDescent="0.35">
      <c r="B21" s="8" t="s">
        <v>50</v>
      </c>
      <c r="C21" s="36" t="s">
        <v>257</v>
      </c>
      <c r="D21" s="36" t="s">
        <v>75</v>
      </c>
      <c r="E21" s="36" t="s">
        <v>339</v>
      </c>
      <c r="F21" s="71" t="s">
        <v>6</v>
      </c>
      <c r="G21" s="75" t="s">
        <v>8</v>
      </c>
      <c r="H21" s="72" t="s">
        <v>12</v>
      </c>
      <c r="I21" s="11">
        <f>SUM(BN26:DA26)</f>
        <v>0</v>
      </c>
      <c r="L21" s="36" t="s">
        <v>75</v>
      </c>
      <c r="M21" s="15"/>
      <c r="N21" s="5"/>
      <c r="O21" s="16"/>
      <c r="P21" s="15"/>
      <c r="Q21" s="5"/>
      <c r="R21" s="16"/>
      <c r="S21" s="15"/>
      <c r="T21" s="5"/>
      <c r="U21" s="16"/>
      <c r="V21" s="15"/>
      <c r="W21" s="5"/>
      <c r="X21" s="16"/>
      <c r="Y21" s="15"/>
      <c r="Z21" s="5"/>
      <c r="AA21" s="16"/>
      <c r="AB21" s="15"/>
      <c r="AC21" s="5"/>
      <c r="AD21" s="16"/>
      <c r="AE21" s="15"/>
      <c r="AF21" s="5"/>
      <c r="AG21" s="16"/>
      <c r="AH21" s="15"/>
      <c r="AI21" s="5"/>
      <c r="AJ21" s="16"/>
      <c r="AK21" s="15"/>
      <c r="AL21" s="5"/>
      <c r="AM21" s="16"/>
      <c r="AN21" s="15"/>
      <c r="AO21" s="5"/>
      <c r="AP21" s="16"/>
      <c r="AQ21" s="15"/>
      <c r="AR21" s="5"/>
      <c r="AS21" s="16"/>
      <c r="AT21" s="15"/>
      <c r="AU21" s="5"/>
      <c r="AV21" s="16"/>
      <c r="AW21" s="15"/>
      <c r="AX21" s="5"/>
      <c r="AY21" s="16"/>
      <c r="AZ21" s="11"/>
      <c r="BH21" s="68" t="s">
        <v>593</v>
      </c>
      <c r="BI21" s="73" t="s">
        <v>125</v>
      </c>
      <c r="BJ21" s="77" t="s">
        <v>598</v>
      </c>
      <c r="BM21" s="63" t="s">
        <v>71</v>
      </c>
      <c r="BN21" s="46">
        <f>IF(M17 &lt;&gt; "", VLOOKUP(CONCATENATE("P", M17), pointsSystem, 2, FALSE), 0)</f>
        <v>0</v>
      </c>
      <c r="BO21" s="6">
        <f>IF(N17 &lt;&gt; "", VLOOKUP(CONCATENATE("P", N17), pointsSystem, 3, FALSE), 0)</f>
        <v>0</v>
      </c>
      <c r="BP21" s="47">
        <f>IF(O17 &lt;&gt; "", VLOOKUP(CONCATENATE("P", O17), pointsSystem, 4, FALSE), 0)</f>
        <v>0</v>
      </c>
      <c r="BQ21" s="46">
        <f>IF(P17 &lt;&gt; "", VLOOKUP(CONCATENATE("P", P17), pointsSystem, 2, FALSE), 0)</f>
        <v>0</v>
      </c>
      <c r="BR21" s="6">
        <f>IF(Q17 &lt;&gt; "", VLOOKUP(CONCATENATE("P", Q17), pointsSystem, 3, FALSE), 0)</f>
        <v>0</v>
      </c>
      <c r="BS21" s="47">
        <f>IF(R17 &lt;&gt; "", VLOOKUP(CONCATENATE("P", R17), pointsSystem, 4, FALSE), 0)</f>
        <v>0</v>
      </c>
      <c r="BT21" s="46">
        <f>IF(S17 &lt;&gt; "", VLOOKUP(CONCATENATE("P", S17), pointsSystem, 2, FALSE), 0)</f>
        <v>0</v>
      </c>
      <c r="BU21" s="6">
        <f>IF(T17 &lt;&gt; "", VLOOKUP(CONCATENATE("P", T17), pointsSystem, 3, FALSE), 0)</f>
        <v>0</v>
      </c>
      <c r="BV21" s="47">
        <f>IF(U17 &lt;&gt; "", VLOOKUP(CONCATENATE("P", U17), pointsSystem, 4, FALSE), 0)</f>
        <v>0</v>
      </c>
      <c r="BW21" s="46">
        <f>IF(V17 &lt;&gt; "", VLOOKUP(CONCATENATE("P", V17), pointsSystem, 2, FALSE), 0)</f>
        <v>0</v>
      </c>
      <c r="BX21" s="6">
        <f>IF(W17 &lt;&gt; "", VLOOKUP(CONCATENATE("P", W17), pointsSystem, 3, FALSE), 0)</f>
        <v>0</v>
      </c>
      <c r="BY21" s="47">
        <f>IF(X17 &lt;&gt; "", VLOOKUP(CONCATENATE("P", X17), pointsSystem, 4, FALSE), 0)</f>
        <v>0</v>
      </c>
      <c r="BZ21" s="46">
        <f>IF(Y17 &lt;&gt; "", VLOOKUP(CONCATENATE("P", Y17), pointsSystem, 2, FALSE), 0)</f>
        <v>0</v>
      </c>
      <c r="CA21" s="6">
        <f>IF(Z17 &lt;&gt; "", VLOOKUP(CONCATENATE("P", Z17), pointsSystem, 3, FALSE), 0)</f>
        <v>0</v>
      </c>
      <c r="CB21" s="47">
        <f>IF(AA17 &lt;&gt; "", VLOOKUP(CONCATENATE("P", AA17), pointsSystem, 4, FALSE), 0)</f>
        <v>0</v>
      </c>
      <c r="CC21" s="46">
        <f>IF(AB17 &lt;&gt; "", VLOOKUP(CONCATENATE("P", AB17), pointsSystem, 2, FALSE), 0)</f>
        <v>0</v>
      </c>
      <c r="CD21" s="6">
        <f>IF(AC17 &lt;&gt; "", VLOOKUP(CONCATENATE("P", AC17), pointsSystem, 3, FALSE), 0)</f>
        <v>0</v>
      </c>
      <c r="CE21" s="47">
        <f>IF(AD17 &lt;&gt; "", VLOOKUP(CONCATENATE("P", AD17), pointsSystem, 4, FALSE), 0)</f>
        <v>0</v>
      </c>
      <c r="CF21" s="46">
        <f>IF(AE17 &lt;&gt; "", VLOOKUP(CONCATENATE("P", AE17), pointsSystem, 2, FALSE), 0)</f>
        <v>0</v>
      </c>
      <c r="CG21" s="6">
        <f>IF(AF17 &lt;&gt; "", VLOOKUP(CONCATENATE("P", AF17), pointsSystem, 3, FALSE), 0)</f>
        <v>0</v>
      </c>
      <c r="CH21" s="47">
        <f>IF(AG17 &lt;&gt; "", VLOOKUP(CONCATENATE("P", AG17), pointsSystem, 4, FALSE), 0)</f>
        <v>0</v>
      </c>
      <c r="CI21" s="46">
        <f>IF(AH17 &lt;&gt; "", VLOOKUP(CONCATENATE("P", AH17), pointsSystem, 2, FALSE), 0)</f>
        <v>0</v>
      </c>
      <c r="CJ21" s="6">
        <f>IF(AI17 &lt;&gt; "", VLOOKUP(CONCATENATE("P", AI17), pointsSystem, 3, FALSE), 0)</f>
        <v>0</v>
      </c>
      <c r="CK21" s="47">
        <f>IF(AJ17 &lt;&gt; "", VLOOKUP(CONCATENATE("P", AJ17), pointsSystem, 4, FALSE), 0)</f>
        <v>0</v>
      </c>
      <c r="CL21" s="46">
        <f>IF(AK17 &lt;&gt; "", VLOOKUP(CONCATENATE("P", AK17), pointsSystem, 2, FALSE), 0)</f>
        <v>0</v>
      </c>
      <c r="CM21" s="6">
        <f>IF(AL17 &lt;&gt; "", VLOOKUP(CONCATENATE("P", AL17), pointsSystem, 3, FALSE), 0)</f>
        <v>0</v>
      </c>
      <c r="CN21" s="47">
        <f>IF(AM17 &lt;&gt; "", VLOOKUP(CONCATENATE("P", AM17), pointsSystem, 4, FALSE), 0)</f>
        <v>0</v>
      </c>
      <c r="CO21" s="46">
        <f>IF(AN17 &lt;&gt; "", VLOOKUP(CONCATENATE("P", AN17), pointsSystem, 2, FALSE), 0)</f>
        <v>0</v>
      </c>
      <c r="CP21" s="6">
        <f>IF(AO17 &lt;&gt; "", VLOOKUP(CONCATENATE("P", AO17), pointsSystem, 3, FALSE), 0)</f>
        <v>0</v>
      </c>
      <c r="CQ21" s="47">
        <f>IF(AP17 &lt;&gt; "", VLOOKUP(CONCATENATE("P", AP17), pointsSystem, 4, FALSE), 0)</f>
        <v>0</v>
      </c>
      <c r="CR21" s="46">
        <f>IF(AQ17 &lt;&gt; "", VLOOKUP(CONCATENATE("P", AQ17), pointsSystem, 2, FALSE), 0)</f>
        <v>0</v>
      </c>
      <c r="CS21" s="6">
        <f>IF(AR17 &lt;&gt; "", VLOOKUP(CONCATENATE("P", AR17), pointsSystem, 3, FALSE), 0)</f>
        <v>0</v>
      </c>
      <c r="CT21" s="47">
        <f>IF(AS17 &lt;&gt; "", VLOOKUP(CONCATENATE("P", AS17), pointsSystem, 4, FALSE), 0)</f>
        <v>0</v>
      </c>
      <c r="CU21" s="46">
        <f>IF(AT17 &lt;&gt; "", VLOOKUP(CONCATENATE("P", AT17), pointsSystem, 2, FALSE), 0)</f>
        <v>0</v>
      </c>
      <c r="CV21" s="6">
        <f>IF(AU17 &lt;&gt; "", VLOOKUP(CONCATENATE("P", AU17), pointsSystem, 3, FALSE), 0)</f>
        <v>0</v>
      </c>
      <c r="CW21" s="47">
        <f>IF(AV17 &lt;&gt; "", VLOOKUP(CONCATENATE("P", AV17), pointsSystem, 4, FALSE), 0)</f>
        <v>0</v>
      </c>
      <c r="CX21" s="46">
        <f>IF(AW17 &lt;&gt; "", VLOOKUP(CONCATENATE("P", AW17), pointsSystem, 2, FALSE), 0)</f>
        <v>0</v>
      </c>
      <c r="CY21" s="6">
        <f>IF(AX17 &lt;&gt; "", VLOOKUP(CONCATENATE("P", AX17), pointsSystem, 3, FALSE), 0)</f>
        <v>0</v>
      </c>
      <c r="CZ21" s="47">
        <f>IF(AY17 &lt;&gt; "", VLOOKUP(CONCATENATE("P", AY17), pointsSystem, 4, FALSE), 0)</f>
        <v>0</v>
      </c>
      <c r="DA21" s="48">
        <f>AZ17 * 1</f>
        <v>0</v>
      </c>
      <c r="EU21" s="235" t="s">
        <v>10</v>
      </c>
      <c r="EV21" s="13">
        <f>MAX(BN17:BN20, BN33:BN36, BN41:BN44)</f>
        <v>0</v>
      </c>
      <c r="EW21" s="30">
        <f t="shared" ref="EW21:GG21" si="99">MAX(BO17:BO20, BO33:BO36, BO41:BO44)</f>
        <v>0</v>
      </c>
      <c r="EX21" s="14">
        <f t="shared" si="99"/>
        <v>0</v>
      </c>
      <c r="EY21" s="13">
        <f t="shared" si="99"/>
        <v>0</v>
      </c>
      <c r="EZ21" s="30">
        <f t="shared" si="99"/>
        <v>0</v>
      </c>
      <c r="FA21" s="14">
        <f t="shared" si="99"/>
        <v>0</v>
      </c>
      <c r="FB21" s="13">
        <f t="shared" si="99"/>
        <v>0</v>
      </c>
      <c r="FC21" s="30">
        <f t="shared" si="99"/>
        <v>0</v>
      </c>
      <c r="FD21" s="14">
        <f t="shared" si="99"/>
        <v>0</v>
      </c>
      <c r="FE21" s="13">
        <f t="shared" si="99"/>
        <v>0</v>
      </c>
      <c r="FF21" s="30">
        <f t="shared" si="99"/>
        <v>0</v>
      </c>
      <c r="FG21" s="14">
        <f t="shared" si="99"/>
        <v>0</v>
      </c>
      <c r="FH21" s="13">
        <f t="shared" si="99"/>
        <v>0</v>
      </c>
      <c r="FI21" s="30">
        <f t="shared" si="99"/>
        <v>0</v>
      </c>
      <c r="FJ21" s="14">
        <f t="shared" si="99"/>
        <v>0</v>
      </c>
      <c r="FK21" s="13">
        <f t="shared" si="99"/>
        <v>0</v>
      </c>
      <c r="FL21" s="30">
        <f t="shared" si="99"/>
        <v>0</v>
      </c>
      <c r="FM21" s="14">
        <f t="shared" si="99"/>
        <v>0</v>
      </c>
      <c r="FN21" s="13">
        <f t="shared" si="99"/>
        <v>0</v>
      </c>
      <c r="FO21" s="30">
        <f t="shared" si="99"/>
        <v>0</v>
      </c>
      <c r="FP21" s="14">
        <f t="shared" si="99"/>
        <v>0</v>
      </c>
      <c r="FQ21" s="85">
        <f t="shared" si="99"/>
        <v>0</v>
      </c>
      <c r="FR21" s="30">
        <f t="shared" si="99"/>
        <v>0</v>
      </c>
      <c r="FS21" s="49">
        <f t="shared" si="99"/>
        <v>0</v>
      </c>
      <c r="FT21" s="13">
        <f t="shared" si="99"/>
        <v>0</v>
      </c>
      <c r="FU21" s="30">
        <f t="shared" si="99"/>
        <v>0</v>
      </c>
      <c r="FV21" s="14">
        <f t="shared" si="99"/>
        <v>0</v>
      </c>
      <c r="FW21" s="13">
        <f t="shared" si="99"/>
        <v>0</v>
      </c>
      <c r="FX21" s="30">
        <f t="shared" si="99"/>
        <v>0</v>
      </c>
      <c r="FY21" s="14">
        <f t="shared" si="99"/>
        <v>0</v>
      </c>
      <c r="FZ21" s="13">
        <f t="shared" si="99"/>
        <v>0</v>
      </c>
      <c r="GA21" s="30">
        <f t="shared" si="99"/>
        <v>0</v>
      </c>
      <c r="GB21" s="14">
        <f t="shared" si="99"/>
        <v>0</v>
      </c>
      <c r="GC21" s="13">
        <f t="shared" si="99"/>
        <v>0</v>
      </c>
      <c r="GD21" s="30">
        <f t="shared" si="99"/>
        <v>0</v>
      </c>
      <c r="GE21" s="14">
        <f t="shared" si="99"/>
        <v>0</v>
      </c>
      <c r="GF21" s="13">
        <f t="shared" si="99"/>
        <v>0</v>
      </c>
      <c r="GG21" s="30">
        <f t="shared" si="99"/>
        <v>0</v>
      </c>
      <c r="GH21" s="14">
        <f>MAX(CZ17:CZ20, CZ33:CZ36, CZ41:CZ44)</f>
        <v>0</v>
      </c>
      <c r="GI21" s="226">
        <f>SUM(DA17:DA20, DA33:DA36, DA41:DA44)</f>
        <v>0</v>
      </c>
      <c r="GL21" s="192">
        <f>SUM(EV21:GI22)</f>
        <v>0</v>
      </c>
    </row>
    <row r="22" spans="2:194" ht="16.8" customHeight="1" thickBot="1" x14ac:dyDescent="0.35">
      <c r="B22" s="8" t="s">
        <v>51</v>
      </c>
      <c r="C22" s="66" t="s">
        <v>227</v>
      </c>
      <c r="D22" s="66" t="s">
        <v>76</v>
      </c>
      <c r="E22" s="66" t="s">
        <v>339</v>
      </c>
      <c r="F22" s="71" t="s">
        <v>6</v>
      </c>
      <c r="G22" s="75" t="s">
        <v>8</v>
      </c>
      <c r="H22" s="72" t="s">
        <v>12</v>
      </c>
      <c r="I22" s="11">
        <f>SUM(BN27:DA27)</f>
        <v>0</v>
      </c>
      <c r="L22" s="66" t="s">
        <v>76</v>
      </c>
      <c r="M22" s="15"/>
      <c r="N22" s="5"/>
      <c r="O22" s="16"/>
      <c r="P22" s="15"/>
      <c r="Q22" s="5"/>
      <c r="R22" s="16"/>
      <c r="S22" s="15"/>
      <c r="T22" s="5"/>
      <c r="U22" s="16"/>
      <c r="V22" s="15"/>
      <c r="W22" s="5"/>
      <c r="X22" s="16"/>
      <c r="Y22" s="15"/>
      <c r="Z22" s="5"/>
      <c r="AA22" s="16"/>
      <c r="AB22" s="15"/>
      <c r="AC22" s="5"/>
      <c r="AD22" s="16"/>
      <c r="AE22" s="15"/>
      <c r="AF22" s="5"/>
      <c r="AG22" s="16"/>
      <c r="AH22" s="15"/>
      <c r="AI22" s="5"/>
      <c r="AJ22" s="16"/>
      <c r="AK22" s="15"/>
      <c r="AL22" s="5"/>
      <c r="AM22" s="16"/>
      <c r="AN22" s="15"/>
      <c r="AO22" s="5"/>
      <c r="AP22" s="16"/>
      <c r="AQ22" s="15"/>
      <c r="AR22" s="5"/>
      <c r="AS22" s="16"/>
      <c r="AT22" s="15"/>
      <c r="AU22" s="5"/>
      <c r="AV22" s="16"/>
      <c r="AW22" s="15"/>
      <c r="AX22" s="5"/>
      <c r="AY22" s="16"/>
      <c r="AZ22" s="11"/>
      <c r="BH22" s="69" t="s">
        <v>593</v>
      </c>
      <c r="BI22" s="74" t="s">
        <v>125</v>
      </c>
      <c r="BJ22" s="72" t="s">
        <v>598</v>
      </c>
      <c r="BM22" s="40" t="s">
        <v>72</v>
      </c>
      <c r="BN22" s="46">
        <f>IF(M18 &lt;&gt; "", VLOOKUP(CONCATENATE("P", M18), pointsSystem, 2, FALSE), 0)</f>
        <v>0</v>
      </c>
      <c r="BO22" s="6">
        <f>IF(N18 &lt;&gt; "", VLOOKUP(CONCATENATE("P", N18), pointsSystem, 3, FALSE), 0)</f>
        <v>0</v>
      </c>
      <c r="BP22" s="47">
        <f>IF(O18 &lt;&gt; "", VLOOKUP(CONCATENATE("P", O18), pointsSystem, 4, FALSE), 0)</f>
        <v>0</v>
      </c>
      <c r="BQ22" s="46">
        <f>IF(P18 &lt;&gt; "", VLOOKUP(CONCATENATE("P", P18), pointsSystem, 2, FALSE), 0)</f>
        <v>0</v>
      </c>
      <c r="BR22" s="6">
        <f>IF(Q18 &lt;&gt; "", VLOOKUP(CONCATENATE("P", Q18), pointsSystem, 3, FALSE), 0)</f>
        <v>0</v>
      </c>
      <c r="BS22" s="47">
        <f>IF(R18 &lt;&gt; "", VLOOKUP(CONCATENATE("P", R18), pointsSystem, 4, FALSE), 0)</f>
        <v>0</v>
      </c>
      <c r="BT22" s="46">
        <f>IF(S18 &lt;&gt; "", VLOOKUP(CONCATENATE("P", S18), pointsSystem, 2, FALSE), 0)</f>
        <v>0</v>
      </c>
      <c r="BU22" s="6">
        <f>IF(T18 &lt;&gt; "", VLOOKUP(CONCATENATE("P", T18), pointsSystem, 3, FALSE), 0)</f>
        <v>0</v>
      </c>
      <c r="BV22" s="47">
        <f>IF(U18 &lt;&gt; "", VLOOKUP(CONCATENATE("P", U18), pointsSystem, 4, FALSE), 0)</f>
        <v>0</v>
      </c>
      <c r="BW22" s="46">
        <f>IF(V18 &lt;&gt; "", VLOOKUP(CONCATENATE("P", V18), pointsSystem, 2, FALSE), 0)</f>
        <v>0</v>
      </c>
      <c r="BX22" s="6">
        <f>IF(W18 &lt;&gt; "", VLOOKUP(CONCATENATE("P", W18), pointsSystem, 3, FALSE), 0)</f>
        <v>0</v>
      </c>
      <c r="BY22" s="47">
        <f>IF(X18 &lt;&gt; "", VLOOKUP(CONCATENATE("P", X18), pointsSystem, 4, FALSE), 0)</f>
        <v>0</v>
      </c>
      <c r="BZ22" s="46">
        <f>IF(Y18 &lt;&gt; "", VLOOKUP(CONCATENATE("P", Y18), pointsSystem, 2, FALSE), 0)</f>
        <v>0</v>
      </c>
      <c r="CA22" s="6">
        <f>IF(Z18 &lt;&gt; "", VLOOKUP(CONCATENATE("P", Z18), pointsSystem, 3, FALSE), 0)</f>
        <v>0</v>
      </c>
      <c r="CB22" s="47">
        <f>IF(AA18 &lt;&gt; "", VLOOKUP(CONCATENATE("P", AA18), pointsSystem, 4, FALSE), 0)</f>
        <v>0</v>
      </c>
      <c r="CC22" s="46">
        <f>IF(AB18 &lt;&gt; "", VLOOKUP(CONCATENATE("P", AB18), pointsSystem, 2, FALSE), 0)</f>
        <v>0</v>
      </c>
      <c r="CD22" s="6">
        <f>IF(AC18 &lt;&gt; "", VLOOKUP(CONCATENATE("P", AC18), pointsSystem, 3, FALSE), 0)</f>
        <v>0</v>
      </c>
      <c r="CE22" s="47">
        <f>IF(AD18 &lt;&gt; "", VLOOKUP(CONCATENATE("P", AD18), pointsSystem, 4, FALSE), 0)</f>
        <v>0</v>
      </c>
      <c r="CF22" s="46">
        <f>IF(AE18 &lt;&gt; "", VLOOKUP(CONCATENATE("P", AE18), pointsSystem, 2, FALSE), 0)</f>
        <v>0</v>
      </c>
      <c r="CG22" s="6">
        <f>IF(AF18 &lt;&gt; "", VLOOKUP(CONCATENATE("P", AF18), pointsSystem, 3, FALSE), 0)</f>
        <v>0</v>
      </c>
      <c r="CH22" s="47">
        <f>IF(AG18 &lt;&gt; "", VLOOKUP(CONCATENATE("P", AG18), pointsSystem, 4, FALSE), 0)</f>
        <v>0</v>
      </c>
      <c r="CI22" s="46">
        <f>IF(AH18 &lt;&gt; "", VLOOKUP(CONCATENATE("P", AH18), pointsSystem, 2, FALSE), 0)</f>
        <v>0</v>
      </c>
      <c r="CJ22" s="6">
        <f>IF(AI18 &lt;&gt; "", VLOOKUP(CONCATENATE("P", AI18), pointsSystem, 3, FALSE), 0)</f>
        <v>0</v>
      </c>
      <c r="CK22" s="47">
        <f>IF(AJ18 &lt;&gt; "", VLOOKUP(CONCATENATE("P", AJ18), pointsSystem, 4, FALSE), 0)</f>
        <v>0</v>
      </c>
      <c r="CL22" s="46">
        <f>IF(AK18 &lt;&gt; "", VLOOKUP(CONCATENATE("P", AK18), pointsSystem, 2, FALSE), 0)</f>
        <v>0</v>
      </c>
      <c r="CM22" s="6">
        <f>IF(AL18 &lt;&gt; "", VLOOKUP(CONCATENATE("P", AL18), pointsSystem, 3, FALSE), 0)</f>
        <v>0</v>
      </c>
      <c r="CN22" s="47">
        <f>IF(AM18 &lt;&gt; "", VLOOKUP(CONCATENATE("P", AM18), pointsSystem, 4, FALSE), 0)</f>
        <v>0</v>
      </c>
      <c r="CO22" s="46">
        <f>IF(AN18 &lt;&gt; "", VLOOKUP(CONCATENATE("P", AN18), pointsSystem, 2, FALSE), 0)</f>
        <v>0</v>
      </c>
      <c r="CP22" s="6">
        <f>IF(AO18 &lt;&gt; "", VLOOKUP(CONCATENATE("P", AO18), pointsSystem, 3, FALSE), 0)</f>
        <v>0</v>
      </c>
      <c r="CQ22" s="47">
        <f>IF(AP18 &lt;&gt; "", VLOOKUP(CONCATENATE("P", AP18), pointsSystem, 4, FALSE), 0)</f>
        <v>0</v>
      </c>
      <c r="CR22" s="46">
        <f>IF(AQ18 &lt;&gt; "", VLOOKUP(CONCATENATE("P", AQ18), pointsSystem, 2, FALSE), 0)</f>
        <v>0</v>
      </c>
      <c r="CS22" s="6">
        <f>IF(AR18 &lt;&gt; "", VLOOKUP(CONCATENATE("P", AR18), pointsSystem, 3, FALSE), 0)</f>
        <v>0</v>
      </c>
      <c r="CT22" s="47">
        <f>IF(AS18 &lt;&gt; "", VLOOKUP(CONCATENATE("P", AS18), pointsSystem, 4, FALSE), 0)</f>
        <v>0</v>
      </c>
      <c r="CU22" s="46">
        <f>IF(AT18 &lt;&gt; "", VLOOKUP(CONCATENATE("P", AT18), pointsSystem, 2, FALSE), 0)</f>
        <v>0</v>
      </c>
      <c r="CV22" s="6">
        <f>IF(AU18 &lt;&gt; "", VLOOKUP(CONCATENATE("P", AU18), pointsSystem, 3, FALSE), 0)</f>
        <v>0</v>
      </c>
      <c r="CW22" s="47">
        <f>IF(AV18 &lt;&gt; "", VLOOKUP(CONCATENATE("P", AV18), pointsSystem, 4, FALSE), 0)</f>
        <v>0</v>
      </c>
      <c r="CX22" s="46">
        <f>IF(AW18 &lt;&gt; "", VLOOKUP(CONCATENATE("P", AW18), pointsSystem, 2, FALSE), 0)</f>
        <v>0</v>
      </c>
      <c r="CY22" s="6">
        <f>IF(AX18 &lt;&gt; "", VLOOKUP(CONCATENATE("P", AX18), pointsSystem, 3, FALSE), 0)</f>
        <v>0</v>
      </c>
      <c r="CZ22" s="47">
        <f>IF(AY18 &lt;&gt; "", VLOOKUP(CONCATENATE("P", AY18), pointsSystem, 4, FALSE), 0)</f>
        <v>0</v>
      </c>
      <c r="DA22" s="48">
        <f>AZ18 * 1</f>
        <v>0</v>
      </c>
      <c r="EU22" s="235"/>
      <c r="EV22" s="17">
        <f>LARGE((BN17:BN20, BN33:BN36, BN41:BN44), 2)</f>
        <v>0</v>
      </c>
      <c r="EW22" s="31">
        <f>LARGE((BO17:BO20, BO33:BO36, BO41:BO44), 2)</f>
        <v>0</v>
      </c>
      <c r="EX22" s="18">
        <f>LARGE((BP17:BP20, BP33:BP36, BP41:BP44), 2)</f>
        <v>0</v>
      </c>
      <c r="EY22" s="17">
        <f>LARGE((BQ17:BQ20, BQ33:BQ36, BQ41:BQ44), 2)</f>
        <v>0</v>
      </c>
      <c r="EZ22" s="31">
        <f>LARGE((BR17:BR20, BR33:BR36, BR41:BR44), 2)</f>
        <v>0</v>
      </c>
      <c r="FA22" s="18">
        <f>LARGE((BS17:BS20, BS33:BS36, BS41:BS44), 2)</f>
        <v>0</v>
      </c>
      <c r="FB22" s="17">
        <f>LARGE((BT17:BT20, BT33:BT36, BT41:BT44), 2)</f>
        <v>0</v>
      </c>
      <c r="FC22" s="31">
        <f>LARGE((BU17:BU20, BU33:BU36, BU41:BU44), 2)</f>
        <v>0</v>
      </c>
      <c r="FD22" s="18">
        <f>LARGE((BV17:BV20, BV33:BV36, BV41:BV44), 2)</f>
        <v>0</v>
      </c>
      <c r="FE22" s="17">
        <f>LARGE((BW17:BW20, BW33:BW36, BW41:BW44), 2)</f>
        <v>0</v>
      </c>
      <c r="FF22" s="31">
        <f>LARGE((BX17:BX20, BX33:BX36, BX41:BX44), 2)</f>
        <v>0</v>
      </c>
      <c r="FG22" s="18">
        <f>LARGE((BY17:BY20, BY33:BY36, BY41:BY44), 2)</f>
        <v>0</v>
      </c>
      <c r="FH22" s="17">
        <f>LARGE((BZ17:BZ20, BZ33:BZ36, BZ41:BZ44), 2)</f>
        <v>0</v>
      </c>
      <c r="FI22" s="31">
        <f>LARGE((CA17:CA20, CA33:CA36, CA41:CA44), 2)</f>
        <v>0</v>
      </c>
      <c r="FJ22" s="18">
        <f>LARGE((CB17:CB20, CB33:CB36, CB41:CB44), 2)</f>
        <v>0</v>
      </c>
      <c r="FK22" s="17">
        <f>LARGE((CC17:CC20, CC33:CC36, CC41:CC44), 2)</f>
        <v>0</v>
      </c>
      <c r="FL22" s="31">
        <f>LARGE((CD17:CD20, CD33:CD36, CD41:CD44), 2)</f>
        <v>0</v>
      </c>
      <c r="FM22" s="18">
        <f>LARGE((CE17:CE20, CE33:CE36, CE41:CE44), 2)</f>
        <v>0</v>
      </c>
      <c r="FN22" s="17">
        <f>LARGE((CF17:CF20, CF33:CF36, CF41:CF44), 2)</f>
        <v>0</v>
      </c>
      <c r="FO22" s="31">
        <f>LARGE((CG17:CG20, CG33:CG36, CG41:CG44), 2)</f>
        <v>0</v>
      </c>
      <c r="FP22" s="18">
        <f>LARGE((CH17:CH20, CH33:CH36, CH41:CH44), 2)</f>
        <v>0</v>
      </c>
      <c r="FQ22" s="86">
        <f>LARGE((CI17:CI20, CI33:CI36, CI41:CI44), 2)</f>
        <v>0</v>
      </c>
      <c r="FR22" s="31">
        <f>LARGE((CJ17:CJ20, CJ33:CJ36, CJ41:CJ44), 2)</f>
        <v>0</v>
      </c>
      <c r="FS22" s="50">
        <f>LARGE((CK17:CK20, CK33:CK36, CK41:CK44), 2)</f>
        <v>0</v>
      </c>
      <c r="FT22" s="17">
        <f>LARGE((CL17:CL20, CL33:CL36, CL41:CL44), 2)</f>
        <v>0</v>
      </c>
      <c r="FU22" s="31">
        <f>LARGE((CM17:CM20, CM33:CM36, CM41:CM44), 2)</f>
        <v>0</v>
      </c>
      <c r="FV22" s="18">
        <f>LARGE((CN17:CN20, CN33:CN36, CN41:CN44), 2)</f>
        <v>0</v>
      </c>
      <c r="FW22" s="17">
        <f>LARGE((CO17:CO20, CO33:CO36, CO41:CO44), 2)</f>
        <v>0</v>
      </c>
      <c r="FX22" s="31">
        <f>LARGE((CP17:CP20, CP33:CP36, CP41:CP44), 2)</f>
        <v>0</v>
      </c>
      <c r="FY22" s="18">
        <f>LARGE((CQ17:CQ20, CQ33:CQ36, CQ41:CQ44), 2)</f>
        <v>0</v>
      </c>
      <c r="FZ22" s="17">
        <f>LARGE((CR17:CR20, CR33:CR36, CR41:CR44), 2)</f>
        <v>0</v>
      </c>
      <c r="GA22" s="31">
        <f>LARGE((CS17:CS20, CS33:CS36, CS41:CS44), 2)</f>
        <v>0</v>
      </c>
      <c r="GB22" s="18">
        <f>LARGE((CT17:CT20, CT33:CT36, CT41:CT44), 2)</f>
        <v>0</v>
      </c>
      <c r="GC22" s="17">
        <f>LARGE((CU17:CU20, CU33:CU36, CU41:CU44), 2)</f>
        <v>0</v>
      </c>
      <c r="GD22" s="31">
        <f>LARGE((CV17:CV20, CV33:CV36, CV41:CV44), 2)</f>
        <v>0</v>
      </c>
      <c r="GE22" s="18">
        <f>LARGE((CW17:CW20, CW33:CW36, CW41:CW44), 2)</f>
        <v>0</v>
      </c>
      <c r="GF22" s="17">
        <f>LARGE((CX17:CX20, CX33:CX36, CX41:CX44), 2)</f>
        <v>0</v>
      </c>
      <c r="GG22" s="31">
        <f>LARGE((CY17:CY20, CY33:CY36, CY41:CY44), 2)</f>
        <v>0</v>
      </c>
      <c r="GH22" s="18">
        <f>LARGE((CZ17:CZ20, CZ33:CZ36, CZ41:CZ44), 2)</f>
        <v>0</v>
      </c>
      <c r="GI22" s="227"/>
      <c r="GL22" s="192"/>
    </row>
    <row r="23" spans="2:194" ht="16.8" customHeight="1" thickBot="1" x14ac:dyDescent="0.35">
      <c r="B23" s="8" t="s">
        <v>52</v>
      </c>
      <c r="C23" s="41" t="s">
        <v>289</v>
      </c>
      <c r="D23" s="41" t="s">
        <v>77</v>
      </c>
      <c r="E23" s="41" t="s">
        <v>554</v>
      </c>
      <c r="F23" s="69" t="s">
        <v>5</v>
      </c>
      <c r="G23" s="66" t="s">
        <v>7</v>
      </c>
      <c r="H23" s="78" t="s">
        <v>11</v>
      </c>
      <c r="I23" s="11">
        <f>SUM(BN29:DA29)</f>
        <v>0</v>
      </c>
      <c r="L23" s="41" t="s">
        <v>77</v>
      </c>
      <c r="M23" s="15"/>
      <c r="N23" s="5"/>
      <c r="O23" s="16"/>
      <c r="P23" s="15"/>
      <c r="Q23" s="5"/>
      <c r="R23" s="16"/>
      <c r="S23" s="15"/>
      <c r="T23" s="5"/>
      <c r="U23" s="16"/>
      <c r="V23" s="15"/>
      <c r="W23" s="5"/>
      <c r="X23" s="16"/>
      <c r="Y23" s="15"/>
      <c r="Z23" s="5"/>
      <c r="AA23" s="16"/>
      <c r="AB23" s="15"/>
      <c r="AC23" s="5"/>
      <c r="AD23" s="16"/>
      <c r="AE23" s="15"/>
      <c r="AF23" s="5"/>
      <c r="AG23" s="16"/>
      <c r="AH23" s="15"/>
      <c r="AI23" s="5"/>
      <c r="AJ23" s="16"/>
      <c r="AK23" s="15"/>
      <c r="AL23" s="5"/>
      <c r="AM23" s="16"/>
      <c r="AN23" s="15"/>
      <c r="AO23" s="5"/>
      <c r="AP23" s="16"/>
      <c r="AQ23" s="15"/>
      <c r="AR23" s="5"/>
      <c r="AS23" s="16"/>
      <c r="AT23" s="15"/>
      <c r="AU23" s="5"/>
      <c r="AV23" s="16"/>
      <c r="AW23" s="15"/>
      <c r="AX23" s="5"/>
      <c r="AY23" s="16"/>
      <c r="AZ23" s="11"/>
      <c r="BH23" s="69" t="s">
        <v>593</v>
      </c>
      <c r="BI23" s="74" t="s">
        <v>125</v>
      </c>
      <c r="BJ23" s="72" t="s">
        <v>598</v>
      </c>
      <c r="BM23" s="40" t="s">
        <v>73</v>
      </c>
      <c r="BN23" s="46">
        <f>IF(M19 &lt;&gt; "", VLOOKUP(CONCATENATE("P", M19), pointsSystem, 2, FALSE), 0)</f>
        <v>0</v>
      </c>
      <c r="BO23" s="6">
        <f>IF(N19 &lt;&gt; "", VLOOKUP(CONCATENATE("P", N19), pointsSystem, 3, FALSE), 0)</f>
        <v>0</v>
      </c>
      <c r="BP23" s="47">
        <f>IF(O19 &lt;&gt; "", VLOOKUP(CONCATENATE("P", O19), pointsSystem, 4, FALSE), 0)</f>
        <v>0</v>
      </c>
      <c r="BQ23" s="46">
        <f>IF(P19 &lt;&gt; "", VLOOKUP(CONCATENATE("P", P19), pointsSystem, 2, FALSE), 0)</f>
        <v>0</v>
      </c>
      <c r="BR23" s="6">
        <f>IF(Q19 &lt;&gt; "", VLOOKUP(CONCATENATE("P", Q19), pointsSystem, 3, FALSE), 0)</f>
        <v>0</v>
      </c>
      <c r="BS23" s="47">
        <f>IF(R19 &lt;&gt; "", VLOOKUP(CONCATENATE("P", R19), pointsSystem, 4, FALSE), 0)</f>
        <v>0</v>
      </c>
      <c r="BT23" s="46">
        <f>IF(S19 &lt;&gt; "", VLOOKUP(CONCATENATE("P", S19), pointsSystem, 2, FALSE), 0)</f>
        <v>0</v>
      </c>
      <c r="BU23" s="6">
        <f>IF(T19 &lt;&gt; "", VLOOKUP(CONCATENATE("P", T19), pointsSystem, 3, FALSE), 0)</f>
        <v>0</v>
      </c>
      <c r="BV23" s="47">
        <f>IF(U19 &lt;&gt; "", VLOOKUP(CONCATENATE("P", U19), pointsSystem, 4, FALSE), 0)</f>
        <v>0</v>
      </c>
      <c r="BW23" s="46">
        <f>IF(V19 &lt;&gt; "", VLOOKUP(CONCATENATE("P", V19), pointsSystem, 2, FALSE), 0)</f>
        <v>0</v>
      </c>
      <c r="BX23" s="6">
        <f>IF(W19 &lt;&gt; "", VLOOKUP(CONCATENATE("P", W19), pointsSystem, 3, FALSE), 0)</f>
        <v>0</v>
      </c>
      <c r="BY23" s="47">
        <f>IF(X19 &lt;&gt; "", VLOOKUP(CONCATENATE("P", X19), pointsSystem, 4, FALSE), 0)</f>
        <v>0</v>
      </c>
      <c r="BZ23" s="46">
        <f>IF(Y19 &lt;&gt; "", VLOOKUP(CONCATENATE("P", Y19), pointsSystem, 2, FALSE), 0)</f>
        <v>0</v>
      </c>
      <c r="CA23" s="6">
        <f>IF(Z19 &lt;&gt; "", VLOOKUP(CONCATENATE("P", Z19), pointsSystem, 3, FALSE), 0)</f>
        <v>0</v>
      </c>
      <c r="CB23" s="47">
        <f>IF(AA19 &lt;&gt; "", VLOOKUP(CONCATENATE("P", AA19), pointsSystem, 4, FALSE), 0)</f>
        <v>0</v>
      </c>
      <c r="CC23" s="46">
        <f>IF(AB19 &lt;&gt; "", VLOOKUP(CONCATENATE("P", AB19), pointsSystem, 2, FALSE), 0)</f>
        <v>0</v>
      </c>
      <c r="CD23" s="6">
        <f>IF(AC19 &lt;&gt; "", VLOOKUP(CONCATENATE("P", AC19), pointsSystem, 3, FALSE), 0)</f>
        <v>0</v>
      </c>
      <c r="CE23" s="47">
        <f>IF(AD19 &lt;&gt; "", VLOOKUP(CONCATENATE("P", AD19), pointsSystem, 4, FALSE), 0)</f>
        <v>0</v>
      </c>
      <c r="CF23" s="46">
        <f>IF(AE19 &lt;&gt; "", VLOOKUP(CONCATENATE("P", AE19), pointsSystem, 2, FALSE), 0)</f>
        <v>0</v>
      </c>
      <c r="CG23" s="6">
        <f>IF(AF19 &lt;&gt; "", VLOOKUP(CONCATENATE("P", AF19), pointsSystem, 3, FALSE), 0)</f>
        <v>0</v>
      </c>
      <c r="CH23" s="47">
        <f>IF(AG19 &lt;&gt; "", VLOOKUP(CONCATENATE("P", AG19), pointsSystem, 4, FALSE), 0)</f>
        <v>0</v>
      </c>
      <c r="CI23" s="46">
        <f>IF(AH19 &lt;&gt; "", VLOOKUP(CONCATENATE("P", AH19), pointsSystem, 2, FALSE), 0)</f>
        <v>0</v>
      </c>
      <c r="CJ23" s="6">
        <f>IF(AI19 &lt;&gt; "", VLOOKUP(CONCATENATE("P", AI19), pointsSystem, 3, FALSE), 0)</f>
        <v>0</v>
      </c>
      <c r="CK23" s="47">
        <f>IF(AJ19 &lt;&gt; "", VLOOKUP(CONCATENATE("P", AJ19), pointsSystem, 4, FALSE), 0)</f>
        <v>0</v>
      </c>
      <c r="CL23" s="46">
        <f>IF(AK19 &lt;&gt; "", VLOOKUP(CONCATENATE("P", AK19), pointsSystem, 2, FALSE), 0)</f>
        <v>0</v>
      </c>
      <c r="CM23" s="6">
        <f>IF(AL19 &lt;&gt; "", VLOOKUP(CONCATENATE("P", AL19), pointsSystem, 3, FALSE), 0)</f>
        <v>0</v>
      </c>
      <c r="CN23" s="47">
        <f>IF(AM19 &lt;&gt; "", VLOOKUP(CONCATENATE("P", AM19), pointsSystem, 4, FALSE), 0)</f>
        <v>0</v>
      </c>
      <c r="CO23" s="46">
        <f>IF(AN19 &lt;&gt; "", VLOOKUP(CONCATENATE("P", AN19), pointsSystem, 2, FALSE), 0)</f>
        <v>0</v>
      </c>
      <c r="CP23" s="6">
        <f>IF(AO19 &lt;&gt; "", VLOOKUP(CONCATENATE("P", AO19), pointsSystem, 3, FALSE), 0)</f>
        <v>0</v>
      </c>
      <c r="CQ23" s="47">
        <f>IF(AP19 &lt;&gt; "", VLOOKUP(CONCATENATE("P", AP19), pointsSystem, 4, FALSE), 0)</f>
        <v>0</v>
      </c>
      <c r="CR23" s="46">
        <f>IF(AQ19 &lt;&gt; "", VLOOKUP(CONCATENATE("P", AQ19), pointsSystem, 2, FALSE), 0)</f>
        <v>0</v>
      </c>
      <c r="CS23" s="6">
        <f>IF(AR19 &lt;&gt; "", VLOOKUP(CONCATENATE("P", AR19), pointsSystem, 3, FALSE), 0)</f>
        <v>0</v>
      </c>
      <c r="CT23" s="47">
        <f>IF(AS19 &lt;&gt; "", VLOOKUP(CONCATENATE("P", AS19), pointsSystem, 4, FALSE), 0)</f>
        <v>0</v>
      </c>
      <c r="CU23" s="46">
        <f>IF(AT19 &lt;&gt; "", VLOOKUP(CONCATENATE("P", AT19), pointsSystem, 2, FALSE), 0)</f>
        <v>0</v>
      </c>
      <c r="CV23" s="6">
        <f>IF(AU19 &lt;&gt; "", VLOOKUP(CONCATENATE("P", AU19), pointsSystem, 3, FALSE), 0)</f>
        <v>0</v>
      </c>
      <c r="CW23" s="47">
        <f>IF(AV19 &lt;&gt; "", VLOOKUP(CONCATENATE("P", AV19), pointsSystem, 4, FALSE), 0)</f>
        <v>0</v>
      </c>
      <c r="CX23" s="46">
        <f>IF(AW19 &lt;&gt; "", VLOOKUP(CONCATENATE("P", AW19), pointsSystem, 2, FALSE), 0)</f>
        <v>0</v>
      </c>
      <c r="CY23" s="6">
        <f>IF(AX19 &lt;&gt; "", VLOOKUP(CONCATENATE("P", AX19), pointsSystem, 3, FALSE), 0)</f>
        <v>0</v>
      </c>
      <c r="CZ23" s="47">
        <f>IF(AY19 &lt;&gt; "", VLOOKUP(CONCATENATE("P", AY19), pointsSystem, 4, FALSE), 0)</f>
        <v>0</v>
      </c>
      <c r="DA23" s="48">
        <f>AZ19 * 1</f>
        <v>0</v>
      </c>
      <c r="EU23" s="233" t="s">
        <v>9</v>
      </c>
      <c r="EV23" s="13">
        <f>MAX(BN9:BN12, BN21:BN24)</f>
        <v>0</v>
      </c>
      <c r="EW23" s="30">
        <f t="shared" ref="EW23:GG23" si="100">MAX(BO9:BO12, BO21:BO24)</f>
        <v>0</v>
      </c>
      <c r="EX23" s="14">
        <f t="shared" si="100"/>
        <v>0</v>
      </c>
      <c r="EY23" s="13">
        <f t="shared" si="100"/>
        <v>0</v>
      </c>
      <c r="EZ23" s="30">
        <f t="shared" si="100"/>
        <v>0</v>
      </c>
      <c r="FA23" s="14">
        <f t="shared" si="100"/>
        <v>0</v>
      </c>
      <c r="FB23" s="13">
        <f t="shared" si="100"/>
        <v>0</v>
      </c>
      <c r="FC23" s="30">
        <f t="shared" si="100"/>
        <v>0</v>
      </c>
      <c r="FD23" s="14">
        <f t="shared" si="100"/>
        <v>0</v>
      </c>
      <c r="FE23" s="13">
        <f t="shared" si="100"/>
        <v>0</v>
      </c>
      <c r="FF23" s="30">
        <f t="shared" si="100"/>
        <v>0</v>
      </c>
      <c r="FG23" s="14">
        <f t="shared" si="100"/>
        <v>0</v>
      </c>
      <c r="FH23" s="13">
        <f t="shared" si="100"/>
        <v>0</v>
      </c>
      <c r="FI23" s="30">
        <f t="shared" si="100"/>
        <v>0</v>
      </c>
      <c r="FJ23" s="14">
        <f t="shared" si="100"/>
        <v>0</v>
      </c>
      <c r="FK23" s="13">
        <f t="shared" si="100"/>
        <v>0</v>
      </c>
      <c r="FL23" s="30">
        <f t="shared" si="100"/>
        <v>0</v>
      </c>
      <c r="FM23" s="14">
        <f t="shared" si="100"/>
        <v>0</v>
      </c>
      <c r="FN23" s="13">
        <f t="shared" si="100"/>
        <v>0</v>
      </c>
      <c r="FO23" s="30">
        <f t="shared" si="100"/>
        <v>0</v>
      </c>
      <c r="FP23" s="14">
        <f t="shared" si="100"/>
        <v>0</v>
      </c>
      <c r="FQ23" s="85">
        <f t="shared" si="100"/>
        <v>0</v>
      </c>
      <c r="FR23" s="30">
        <f t="shared" si="100"/>
        <v>0</v>
      </c>
      <c r="FS23" s="49">
        <f t="shared" si="100"/>
        <v>0</v>
      </c>
      <c r="FT23" s="13">
        <f t="shared" si="100"/>
        <v>0</v>
      </c>
      <c r="FU23" s="30">
        <f t="shared" si="100"/>
        <v>0</v>
      </c>
      <c r="FV23" s="14">
        <f t="shared" si="100"/>
        <v>0</v>
      </c>
      <c r="FW23" s="13">
        <f t="shared" si="100"/>
        <v>0</v>
      </c>
      <c r="FX23" s="30">
        <f t="shared" si="100"/>
        <v>0</v>
      </c>
      <c r="FY23" s="14">
        <f t="shared" si="100"/>
        <v>0</v>
      </c>
      <c r="FZ23" s="13">
        <f t="shared" si="100"/>
        <v>0</v>
      </c>
      <c r="GA23" s="30">
        <f t="shared" si="100"/>
        <v>0</v>
      </c>
      <c r="GB23" s="14">
        <f t="shared" si="100"/>
        <v>0</v>
      </c>
      <c r="GC23" s="13">
        <f t="shared" si="100"/>
        <v>0</v>
      </c>
      <c r="GD23" s="30">
        <f t="shared" si="100"/>
        <v>0</v>
      </c>
      <c r="GE23" s="14">
        <f t="shared" si="100"/>
        <v>0</v>
      </c>
      <c r="GF23" s="13">
        <f t="shared" si="100"/>
        <v>0</v>
      </c>
      <c r="GG23" s="30">
        <f t="shared" si="100"/>
        <v>0</v>
      </c>
      <c r="GH23" s="14">
        <f>MAX(CZ9:CZ12, CZ21:CZ24)</f>
        <v>0</v>
      </c>
      <c r="GI23" s="226">
        <f>SUM(DA9:DA12, DA21:DA24)</f>
        <v>0</v>
      </c>
      <c r="GL23" s="192">
        <f>SUM(EV23:GI24)</f>
        <v>0</v>
      </c>
    </row>
    <row r="24" spans="2:194" ht="16.8" customHeight="1" thickBot="1" x14ac:dyDescent="0.35">
      <c r="B24" s="8" t="s">
        <v>53</v>
      </c>
      <c r="C24" s="41" t="s">
        <v>291</v>
      </c>
      <c r="D24" s="41" t="s">
        <v>78</v>
      </c>
      <c r="E24" s="41" t="s">
        <v>554</v>
      </c>
      <c r="F24" s="69" t="s">
        <v>5</v>
      </c>
      <c r="G24" s="66" t="s">
        <v>7</v>
      </c>
      <c r="H24" s="78" t="s">
        <v>11</v>
      </c>
      <c r="I24" s="11">
        <f>SUM(BN30:DA30)</f>
        <v>0</v>
      </c>
      <c r="L24" s="41" t="s">
        <v>78</v>
      </c>
      <c r="M24" s="15"/>
      <c r="N24" s="5"/>
      <c r="O24" s="16"/>
      <c r="P24" s="15"/>
      <c r="Q24" s="5"/>
      <c r="R24" s="16"/>
      <c r="S24" s="15"/>
      <c r="T24" s="5"/>
      <c r="U24" s="16"/>
      <c r="V24" s="15"/>
      <c r="W24" s="5"/>
      <c r="X24" s="16"/>
      <c r="Y24" s="15"/>
      <c r="Z24" s="5"/>
      <c r="AA24" s="16"/>
      <c r="AB24" s="15"/>
      <c r="AC24" s="5"/>
      <c r="AD24" s="16"/>
      <c r="AE24" s="15"/>
      <c r="AF24" s="5"/>
      <c r="AG24" s="16"/>
      <c r="AH24" s="15"/>
      <c r="AI24" s="5"/>
      <c r="AJ24" s="16"/>
      <c r="AK24" s="15"/>
      <c r="AL24" s="5"/>
      <c r="AM24" s="16"/>
      <c r="AN24" s="15"/>
      <c r="AO24" s="5"/>
      <c r="AP24" s="16"/>
      <c r="AQ24" s="15"/>
      <c r="AR24" s="5"/>
      <c r="AS24" s="16"/>
      <c r="AT24" s="15"/>
      <c r="AU24" s="5"/>
      <c r="AV24" s="16"/>
      <c r="AW24" s="15"/>
      <c r="AX24" s="5"/>
      <c r="AY24" s="16"/>
      <c r="AZ24" s="11"/>
      <c r="BH24" s="69" t="s">
        <v>593</v>
      </c>
      <c r="BI24" s="74" t="s">
        <v>125</v>
      </c>
      <c r="BJ24" s="72" t="s">
        <v>598</v>
      </c>
      <c r="BM24" s="40" t="s">
        <v>340</v>
      </c>
      <c r="BN24" s="46">
        <f>IF(M41 &lt;&gt; "", VLOOKUP(CONCATENATE("P", M41), pointsSystem, 2, FALSE), 0)</f>
        <v>0</v>
      </c>
      <c r="BO24" s="6">
        <f>IF(N41 &lt;&gt; "", VLOOKUP(CONCATENATE("P", N41), pointsSystem, 3, FALSE), 0)</f>
        <v>0</v>
      </c>
      <c r="BP24" s="47">
        <f>IF(O41 &lt;&gt; "", VLOOKUP(CONCATENATE("P", O41), pointsSystem, 4, FALSE), 0)</f>
        <v>0</v>
      </c>
      <c r="BQ24" s="46">
        <f>IF(P41 &lt;&gt; "", VLOOKUP(CONCATENATE("P", P41), pointsSystem, 2, FALSE), 0)</f>
        <v>0</v>
      </c>
      <c r="BR24" s="6">
        <f>IF(Q41 &lt;&gt; "", VLOOKUP(CONCATENATE("P", Q41), pointsSystem, 3, FALSE), 0)</f>
        <v>0</v>
      </c>
      <c r="BS24" s="47">
        <f>IF(R41 &lt;&gt; "", VLOOKUP(CONCATENATE("P", R41), pointsSystem, 4, FALSE), 0)</f>
        <v>0</v>
      </c>
      <c r="BT24" s="46">
        <f>IF(S41 &lt;&gt; "", VLOOKUP(CONCATENATE("P", S41), pointsSystem, 2, FALSE), 0)</f>
        <v>0</v>
      </c>
      <c r="BU24" s="6">
        <f>IF(T41 &lt;&gt; "", VLOOKUP(CONCATENATE("P", T41), pointsSystem, 3, FALSE), 0)</f>
        <v>0</v>
      </c>
      <c r="BV24" s="47">
        <f>IF(U41 &lt;&gt; "", VLOOKUP(CONCATENATE("P", U41), pointsSystem, 4, FALSE), 0)</f>
        <v>0</v>
      </c>
      <c r="BW24" s="46">
        <f>IF(V41 &lt;&gt; "", VLOOKUP(CONCATENATE("P", V41), pointsSystem, 2, FALSE), 0)</f>
        <v>0</v>
      </c>
      <c r="BX24" s="6">
        <f>IF(W41 &lt;&gt; "", VLOOKUP(CONCATENATE("P", W41), pointsSystem, 3, FALSE), 0)</f>
        <v>0</v>
      </c>
      <c r="BY24" s="47">
        <f>IF(X41 &lt;&gt; "", VLOOKUP(CONCATENATE("P", X41), pointsSystem, 4, FALSE), 0)</f>
        <v>0</v>
      </c>
      <c r="BZ24" s="46">
        <f>IF(Y41 &lt;&gt; "", VLOOKUP(CONCATENATE("P", Y41), pointsSystem, 2, FALSE), 0)</f>
        <v>0</v>
      </c>
      <c r="CA24" s="6">
        <f>IF(Z41 &lt;&gt; "", VLOOKUP(CONCATENATE("P", Z41), pointsSystem, 3, FALSE), 0)</f>
        <v>0</v>
      </c>
      <c r="CB24" s="47">
        <f>IF(AA41 &lt;&gt; "", VLOOKUP(CONCATENATE("P", AA41), pointsSystem, 4, FALSE), 0)</f>
        <v>0</v>
      </c>
      <c r="CC24" s="46">
        <f>IF(AB41 &lt;&gt; "", VLOOKUP(CONCATENATE("P", AB41), pointsSystem, 2, FALSE), 0)</f>
        <v>0</v>
      </c>
      <c r="CD24" s="6">
        <f>IF(AC41 &lt;&gt; "", VLOOKUP(CONCATENATE("P", AC41), pointsSystem, 3, FALSE), 0)</f>
        <v>0</v>
      </c>
      <c r="CE24" s="47">
        <f>IF(AD41 &lt;&gt; "", VLOOKUP(CONCATENATE("P", AD41), pointsSystem, 4, FALSE), 0)</f>
        <v>0</v>
      </c>
      <c r="CF24" s="46">
        <f>IF(AE41 &lt;&gt; "", VLOOKUP(CONCATENATE("P", AE41), pointsSystem, 2, FALSE), 0)</f>
        <v>0</v>
      </c>
      <c r="CG24" s="6">
        <f>IF(AF41 &lt;&gt; "", VLOOKUP(CONCATENATE("P", AF41), pointsSystem, 3, FALSE), 0)</f>
        <v>0</v>
      </c>
      <c r="CH24" s="47">
        <f>IF(AG41 &lt;&gt; "", VLOOKUP(CONCATENATE("P", AG41), pointsSystem, 4, FALSE), 0)</f>
        <v>0</v>
      </c>
      <c r="CI24" s="46">
        <f>IF(AH41 &lt;&gt; "", VLOOKUP(CONCATENATE("P", AH41), pointsSystem, 2, FALSE), 0)</f>
        <v>0</v>
      </c>
      <c r="CJ24" s="6">
        <f>IF(AI41 &lt;&gt; "", VLOOKUP(CONCATENATE("P", AI41), pointsSystem, 3, FALSE), 0)</f>
        <v>0</v>
      </c>
      <c r="CK24" s="47">
        <f>IF(AJ41 &lt;&gt; "", VLOOKUP(CONCATENATE("P", AJ41), pointsSystem, 4, FALSE), 0)</f>
        <v>0</v>
      </c>
      <c r="CL24" s="46">
        <f>IF(AK41 &lt;&gt; "", VLOOKUP(CONCATENATE("P", AK41), pointsSystem, 2, FALSE), 0)</f>
        <v>0</v>
      </c>
      <c r="CM24" s="6">
        <f>IF(AL41 &lt;&gt; "", VLOOKUP(CONCATENATE("P", AL41), pointsSystem, 3, FALSE), 0)</f>
        <v>0</v>
      </c>
      <c r="CN24" s="47">
        <f>IF(AM41 &lt;&gt; "", VLOOKUP(CONCATENATE("P", AM41), pointsSystem, 4, FALSE), 0)</f>
        <v>0</v>
      </c>
      <c r="CO24" s="46">
        <f>IF(AN41 &lt;&gt; "", VLOOKUP(CONCATENATE("P", AN41), pointsSystem, 2, FALSE), 0)</f>
        <v>0</v>
      </c>
      <c r="CP24" s="6">
        <f>IF(AO41 &lt;&gt; "", VLOOKUP(CONCATENATE("P", AO41), pointsSystem, 3, FALSE), 0)</f>
        <v>0</v>
      </c>
      <c r="CQ24" s="47">
        <f>IF(AP41 &lt;&gt; "", VLOOKUP(CONCATENATE("P", AP41), pointsSystem, 4, FALSE), 0)</f>
        <v>0</v>
      </c>
      <c r="CR24" s="46">
        <f>IF(AQ41 &lt;&gt; "", VLOOKUP(CONCATENATE("P", AQ41), pointsSystem, 2, FALSE), 0)</f>
        <v>0</v>
      </c>
      <c r="CS24" s="6">
        <f>IF(AR41 &lt;&gt; "", VLOOKUP(CONCATENATE("P", AR41), pointsSystem, 3, FALSE), 0)</f>
        <v>0</v>
      </c>
      <c r="CT24" s="47">
        <f>IF(AS41 &lt;&gt; "", VLOOKUP(CONCATENATE("P", AS41), pointsSystem, 4, FALSE), 0)</f>
        <v>0</v>
      </c>
      <c r="CU24" s="46">
        <f>IF(AT41 &lt;&gt; "", VLOOKUP(CONCATENATE("P", AT41), pointsSystem, 2, FALSE), 0)</f>
        <v>0</v>
      </c>
      <c r="CV24" s="6">
        <f>IF(AU41 &lt;&gt; "", VLOOKUP(CONCATENATE("P", AU41), pointsSystem, 3, FALSE), 0)</f>
        <v>0</v>
      </c>
      <c r="CW24" s="47">
        <f>IF(AV41 &lt;&gt; "", VLOOKUP(CONCATENATE("P", AV41), pointsSystem, 4, FALSE), 0)</f>
        <v>0</v>
      </c>
      <c r="CX24" s="46">
        <f>IF(AW41 &lt;&gt; "", VLOOKUP(CONCATENATE("P", AW41), pointsSystem, 2, FALSE), 0)</f>
        <v>0</v>
      </c>
      <c r="CY24" s="6">
        <f>IF(AX41 &lt;&gt; "", VLOOKUP(CONCATENATE("P", AX41), pointsSystem, 3, FALSE), 0)</f>
        <v>0</v>
      </c>
      <c r="CZ24" s="47">
        <f>IF(AY41 &lt;&gt; "", VLOOKUP(CONCATENATE("P", AY41), pointsSystem, 4, FALSE), 0)</f>
        <v>0</v>
      </c>
      <c r="DA24" s="48">
        <f>AZ41 * 1</f>
        <v>0</v>
      </c>
      <c r="EU24" s="233"/>
      <c r="EV24" s="17">
        <f>LARGE((BN9:BN12, BN21:BN24), 2)</f>
        <v>0</v>
      </c>
      <c r="EW24" s="31">
        <f>LARGE((BO9:BO12, BO21:BO24), 2)</f>
        <v>0</v>
      </c>
      <c r="EX24" s="18">
        <f>LARGE((BP9:BP12, BP21:BP24), 2)</f>
        <v>0</v>
      </c>
      <c r="EY24" s="17">
        <f>LARGE((BQ9:BQ12, BQ21:BQ24), 2)</f>
        <v>0</v>
      </c>
      <c r="EZ24" s="31">
        <f>LARGE((BR9:BR12, BR21:BR24), 2)</f>
        <v>0</v>
      </c>
      <c r="FA24" s="18">
        <f>LARGE((BS9:BS12, BS21:BS24), 2)</f>
        <v>0</v>
      </c>
      <c r="FB24" s="17">
        <f>LARGE((BT9:BT12, BT21:BT24), 2)</f>
        <v>0</v>
      </c>
      <c r="FC24" s="31">
        <f>LARGE((BU9:BU12, BU21:BU24), 2)</f>
        <v>0</v>
      </c>
      <c r="FD24" s="18">
        <f>LARGE((BV9:BV12, BV21:BV24), 2)</f>
        <v>0</v>
      </c>
      <c r="FE24" s="17">
        <f>LARGE((BW9:BW12, BW21:BW24), 2)</f>
        <v>0</v>
      </c>
      <c r="FF24" s="31">
        <f>LARGE((BX9:BX12, BX21:BX24), 2)</f>
        <v>0</v>
      </c>
      <c r="FG24" s="18">
        <f>LARGE((BY9:BY12, BY21:BY24), 2)</f>
        <v>0</v>
      </c>
      <c r="FH24" s="17">
        <f>LARGE((BZ9:BZ12, BZ21:BZ24), 2)</f>
        <v>0</v>
      </c>
      <c r="FI24" s="31">
        <f>LARGE((CA9:CA12, CA21:CA24), 2)</f>
        <v>0</v>
      </c>
      <c r="FJ24" s="18">
        <f>LARGE((CB9:CB12, CB21:CB24), 2)</f>
        <v>0</v>
      </c>
      <c r="FK24" s="17">
        <f>LARGE((CC9:CC12, CC21:CC24), 2)</f>
        <v>0</v>
      </c>
      <c r="FL24" s="31">
        <f>LARGE((CD9:CD12, CD21:CD24), 2)</f>
        <v>0</v>
      </c>
      <c r="FM24" s="18">
        <f>LARGE((CE9:CE12, CE21:CE24), 2)</f>
        <v>0</v>
      </c>
      <c r="FN24" s="17">
        <f>LARGE((CF9:CF12, CF21:CF24), 2)</f>
        <v>0</v>
      </c>
      <c r="FO24" s="31">
        <f>LARGE((CG9:CG12, CG21:CG24), 2)</f>
        <v>0</v>
      </c>
      <c r="FP24" s="18">
        <f>LARGE((CH9:CH12, CH21:CH24), 2)</f>
        <v>0</v>
      </c>
      <c r="FQ24" s="86">
        <f>LARGE((CI9:CI12, CI21:CI24), 2)</f>
        <v>0</v>
      </c>
      <c r="FR24" s="31">
        <f>LARGE((CJ9:CJ12, CJ21:CJ24), 2)</f>
        <v>0</v>
      </c>
      <c r="FS24" s="50">
        <f>LARGE((CK9:CK12, CK21:CK24), 2)</f>
        <v>0</v>
      </c>
      <c r="FT24" s="17">
        <f>LARGE((CL9:CL12, CL21:CL24), 2)</f>
        <v>0</v>
      </c>
      <c r="FU24" s="31">
        <f>LARGE((CM9:CM12, CM21:CM24), 2)</f>
        <v>0</v>
      </c>
      <c r="FV24" s="18">
        <f>LARGE((CN9:CN12, CN21:CN24), 2)</f>
        <v>0</v>
      </c>
      <c r="FW24" s="17">
        <f>LARGE((CO9:CO12, CO21:CO24), 2)</f>
        <v>0</v>
      </c>
      <c r="FX24" s="31">
        <f>LARGE((CP9:CP12, CP21:CP24), 2)</f>
        <v>0</v>
      </c>
      <c r="FY24" s="18">
        <f>LARGE((CQ9:CQ12, CQ21:CQ24), 2)</f>
        <v>0</v>
      </c>
      <c r="FZ24" s="17">
        <f>LARGE((CR9:CR12, CR21:CR24), 2)</f>
        <v>0</v>
      </c>
      <c r="GA24" s="31">
        <f>LARGE((CS9:CS12, CS21:CS24), 2)</f>
        <v>0</v>
      </c>
      <c r="GB24" s="18">
        <f>LARGE((CT9:CT12, CT21:CT24), 2)</f>
        <v>0</v>
      </c>
      <c r="GC24" s="17">
        <f>LARGE((CU9:CU12, CU21:CU24), 2)</f>
        <v>0</v>
      </c>
      <c r="GD24" s="31">
        <f>LARGE((CV9:CV12, CV21:CV24), 2)</f>
        <v>0</v>
      </c>
      <c r="GE24" s="18">
        <f>LARGE((CW9:CW12, CW21:CW24), 2)</f>
        <v>0</v>
      </c>
      <c r="GF24" s="17">
        <f>LARGE((CX9:CX12, CX21:CX24), 2)</f>
        <v>0</v>
      </c>
      <c r="GG24" s="31">
        <f>LARGE((CY9:CY12, CY21:CY24), 2)</f>
        <v>0</v>
      </c>
      <c r="GH24" s="18">
        <f>LARGE((CZ9:CZ12, CZ21:CZ24), 2)</f>
        <v>0</v>
      </c>
      <c r="GI24" s="227"/>
      <c r="GL24" s="192"/>
    </row>
    <row r="25" spans="2:194" ht="16.8" customHeight="1" x14ac:dyDescent="0.3">
      <c r="B25" s="8" t="s">
        <v>54</v>
      </c>
      <c r="C25" s="41" t="s">
        <v>286</v>
      </c>
      <c r="D25" s="41" t="s">
        <v>79</v>
      </c>
      <c r="E25" s="41" t="s">
        <v>554</v>
      </c>
      <c r="F25" s="69" t="s">
        <v>5</v>
      </c>
      <c r="G25" s="66" t="s">
        <v>7</v>
      </c>
      <c r="H25" s="78" t="s">
        <v>11</v>
      </c>
      <c r="I25" s="11">
        <f>SUM(BN31:DA31)</f>
        <v>0</v>
      </c>
      <c r="L25" s="41" t="s">
        <v>79</v>
      </c>
      <c r="M25" s="15"/>
      <c r="N25" s="5"/>
      <c r="O25" s="16"/>
      <c r="P25" s="15"/>
      <c r="Q25" s="5"/>
      <c r="R25" s="16"/>
      <c r="S25" s="15"/>
      <c r="T25" s="5"/>
      <c r="U25" s="16"/>
      <c r="V25" s="15"/>
      <c r="W25" s="5"/>
      <c r="X25" s="16"/>
      <c r="Y25" s="15"/>
      <c r="Z25" s="5"/>
      <c r="AA25" s="16"/>
      <c r="AB25" s="15"/>
      <c r="AC25" s="5"/>
      <c r="AD25" s="16"/>
      <c r="AE25" s="15"/>
      <c r="AF25" s="5"/>
      <c r="AG25" s="16"/>
      <c r="AH25" s="15"/>
      <c r="AI25" s="5"/>
      <c r="AJ25" s="16"/>
      <c r="AK25" s="15"/>
      <c r="AL25" s="5"/>
      <c r="AM25" s="16"/>
      <c r="AN25" s="15"/>
      <c r="AO25" s="5"/>
      <c r="AP25" s="16"/>
      <c r="AQ25" s="15"/>
      <c r="AR25" s="5"/>
      <c r="AS25" s="16"/>
      <c r="AT25" s="15"/>
      <c r="AU25" s="5"/>
      <c r="AV25" s="16"/>
      <c r="AW25" s="15"/>
      <c r="AX25" s="5"/>
      <c r="AY25" s="16"/>
      <c r="AZ25" s="11"/>
      <c r="BH25" s="71" t="s">
        <v>125</v>
      </c>
      <c r="BI25" s="75" t="s">
        <v>597</v>
      </c>
      <c r="BJ25" s="72" t="s">
        <v>598</v>
      </c>
      <c r="BM25" s="65" t="s">
        <v>74</v>
      </c>
      <c r="BN25" s="46">
        <f>IF(M20 &lt;&gt; "", VLOOKUP(CONCATENATE("P", M20), pointsSystem, 2, FALSE), 0)</f>
        <v>0</v>
      </c>
      <c r="BO25" s="6">
        <f>IF(N20 &lt;&gt; "", VLOOKUP(CONCATENATE("P", N20), pointsSystem, 3, FALSE), 0)</f>
        <v>0</v>
      </c>
      <c r="BP25" s="47">
        <f>IF(O20 &lt;&gt; "", VLOOKUP(CONCATENATE("P", O20), pointsSystem, 4, FALSE), 0)</f>
        <v>0</v>
      </c>
      <c r="BQ25" s="46">
        <f>IF(P20 &lt;&gt; "", VLOOKUP(CONCATENATE("P", P20), pointsSystem, 2, FALSE), 0)</f>
        <v>0</v>
      </c>
      <c r="BR25" s="6">
        <f>IF(Q20 &lt;&gt; "", VLOOKUP(CONCATENATE("P", Q20), pointsSystem, 3, FALSE), 0)</f>
        <v>0</v>
      </c>
      <c r="BS25" s="47">
        <f>IF(R20 &lt;&gt; "", VLOOKUP(CONCATENATE("P", R20), pointsSystem, 4, FALSE), 0)</f>
        <v>0</v>
      </c>
      <c r="BT25" s="46">
        <f>IF(S20 &lt;&gt; "", VLOOKUP(CONCATENATE("P", S20), pointsSystem, 2, FALSE), 0)</f>
        <v>0</v>
      </c>
      <c r="BU25" s="6">
        <f>IF(T20 &lt;&gt; "", VLOOKUP(CONCATENATE("P", T20), pointsSystem, 3, FALSE), 0)</f>
        <v>0</v>
      </c>
      <c r="BV25" s="47">
        <f>IF(U20 &lt;&gt; "", VLOOKUP(CONCATENATE("P", U20), pointsSystem, 4, FALSE), 0)</f>
        <v>0</v>
      </c>
      <c r="BW25" s="46">
        <f>IF(V20 &lt;&gt; "", VLOOKUP(CONCATENATE("P", V20), pointsSystem, 2, FALSE), 0)</f>
        <v>0</v>
      </c>
      <c r="BX25" s="6">
        <f>IF(W20 &lt;&gt; "", VLOOKUP(CONCATENATE("P", W20), pointsSystem, 3, FALSE), 0)</f>
        <v>0</v>
      </c>
      <c r="BY25" s="47">
        <f>IF(X20 &lt;&gt; "", VLOOKUP(CONCATENATE("P", X20), pointsSystem, 4, FALSE), 0)</f>
        <v>0</v>
      </c>
      <c r="BZ25" s="46">
        <f>IF(Y20 &lt;&gt; "", VLOOKUP(CONCATENATE("P", Y20), pointsSystem, 2, FALSE), 0)</f>
        <v>0</v>
      </c>
      <c r="CA25" s="6">
        <f>IF(Z20 &lt;&gt; "", VLOOKUP(CONCATENATE("P", Z20), pointsSystem, 3, FALSE), 0)</f>
        <v>0</v>
      </c>
      <c r="CB25" s="47">
        <f>IF(AA20 &lt;&gt; "", VLOOKUP(CONCATENATE("P", AA20), pointsSystem, 4, FALSE), 0)</f>
        <v>0</v>
      </c>
      <c r="CC25" s="46">
        <f>IF(AB20 &lt;&gt; "", VLOOKUP(CONCATENATE("P", AB20), pointsSystem, 2, FALSE), 0)</f>
        <v>0</v>
      </c>
      <c r="CD25" s="6">
        <f>IF(AC20 &lt;&gt; "", VLOOKUP(CONCATENATE("P", AC20), pointsSystem, 3, FALSE), 0)</f>
        <v>0</v>
      </c>
      <c r="CE25" s="47">
        <f>IF(AD20 &lt;&gt; "", VLOOKUP(CONCATENATE("P", AD20), pointsSystem, 4, FALSE), 0)</f>
        <v>0</v>
      </c>
      <c r="CF25" s="46">
        <f>IF(AE20 &lt;&gt; "", VLOOKUP(CONCATENATE("P", AE20), pointsSystem, 2, FALSE), 0)</f>
        <v>0</v>
      </c>
      <c r="CG25" s="6">
        <f>IF(AF20 &lt;&gt; "", VLOOKUP(CONCATENATE("P", AF20), pointsSystem, 3, FALSE), 0)</f>
        <v>0</v>
      </c>
      <c r="CH25" s="47">
        <f>IF(AG20 &lt;&gt; "", VLOOKUP(CONCATENATE("P", AG20), pointsSystem, 4, FALSE), 0)</f>
        <v>0</v>
      </c>
      <c r="CI25" s="46">
        <f>IF(AH20 &lt;&gt; "", VLOOKUP(CONCATENATE("P", AH20), pointsSystem, 2, FALSE), 0)</f>
        <v>0</v>
      </c>
      <c r="CJ25" s="6">
        <f>IF(AI20 &lt;&gt; "", VLOOKUP(CONCATENATE("P", AI20), pointsSystem, 3, FALSE), 0)</f>
        <v>0</v>
      </c>
      <c r="CK25" s="47">
        <f>IF(AJ20 &lt;&gt; "", VLOOKUP(CONCATENATE("P", AJ20), pointsSystem, 4, FALSE), 0)</f>
        <v>0</v>
      </c>
      <c r="CL25" s="46">
        <f>IF(AK20 &lt;&gt; "", VLOOKUP(CONCATENATE("P", AK20), pointsSystem, 2, FALSE), 0)</f>
        <v>0</v>
      </c>
      <c r="CM25" s="6">
        <f>IF(AL20 &lt;&gt; "", VLOOKUP(CONCATENATE("P", AL20), pointsSystem, 3, FALSE), 0)</f>
        <v>0</v>
      </c>
      <c r="CN25" s="47">
        <f>IF(AM20 &lt;&gt; "", VLOOKUP(CONCATENATE("P", AM20), pointsSystem, 4, FALSE), 0)</f>
        <v>0</v>
      </c>
      <c r="CO25" s="46">
        <f>IF(AN20 &lt;&gt; "", VLOOKUP(CONCATENATE("P", AN20), pointsSystem, 2, FALSE), 0)</f>
        <v>0</v>
      </c>
      <c r="CP25" s="6">
        <f>IF(AO20 &lt;&gt; "", VLOOKUP(CONCATENATE("P", AO20), pointsSystem, 3, FALSE), 0)</f>
        <v>0</v>
      </c>
      <c r="CQ25" s="47">
        <f>IF(AP20 &lt;&gt; "", VLOOKUP(CONCATENATE("P", AP20), pointsSystem, 4, FALSE), 0)</f>
        <v>0</v>
      </c>
      <c r="CR25" s="46">
        <f>IF(AQ20 &lt;&gt; "", VLOOKUP(CONCATENATE("P", AQ20), pointsSystem, 2, FALSE), 0)</f>
        <v>0</v>
      </c>
      <c r="CS25" s="6">
        <f>IF(AR20 &lt;&gt; "", VLOOKUP(CONCATENATE("P", AR20), pointsSystem, 3, FALSE), 0)</f>
        <v>0</v>
      </c>
      <c r="CT25" s="47">
        <f>IF(AS20 &lt;&gt; "", VLOOKUP(CONCATENATE("P", AS20), pointsSystem, 4, FALSE), 0)</f>
        <v>0</v>
      </c>
      <c r="CU25" s="46">
        <f>IF(AT20 &lt;&gt; "", VLOOKUP(CONCATENATE("P", AT20), pointsSystem, 2, FALSE), 0)</f>
        <v>0</v>
      </c>
      <c r="CV25" s="6">
        <f>IF(AU20 &lt;&gt; "", VLOOKUP(CONCATENATE("P", AU20), pointsSystem, 3, FALSE), 0)</f>
        <v>0</v>
      </c>
      <c r="CW25" s="47">
        <f>IF(AV20 &lt;&gt; "", VLOOKUP(CONCATENATE("P", AV20), pointsSystem, 4, FALSE), 0)</f>
        <v>0</v>
      </c>
      <c r="CX25" s="46">
        <f>IF(AW20 &lt;&gt; "", VLOOKUP(CONCATENATE("P", AW20), pointsSystem, 2, FALSE), 0)</f>
        <v>0</v>
      </c>
      <c r="CY25" s="6">
        <f>IF(AX20 &lt;&gt; "", VLOOKUP(CONCATENATE("P", AX20), pointsSystem, 3, FALSE), 0)</f>
        <v>0</v>
      </c>
      <c r="CZ25" s="47">
        <f>IF(AY20 &lt;&gt; "", VLOOKUP(CONCATENATE("P", AY20), pointsSystem, 4, FALSE), 0)</f>
        <v>0</v>
      </c>
      <c r="DA25" s="48">
        <f>AZ20 * 1</f>
        <v>0</v>
      </c>
    </row>
    <row r="26" spans="2:194" ht="16.8" customHeight="1" thickBot="1" x14ac:dyDescent="0.35">
      <c r="B26" s="8" t="s">
        <v>55</v>
      </c>
      <c r="C26" s="43" t="s">
        <v>235</v>
      </c>
      <c r="D26" s="43" t="s">
        <v>80</v>
      </c>
      <c r="E26" s="43" t="s">
        <v>437</v>
      </c>
      <c r="F26" s="70" t="s">
        <v>34</v>
      </c>
      <c r="G26" s="76" t="s">
        <v>10</v>
      </c>
      <c r="H26" s="72" t="s">
        <v>12</v>
      </c>
      <c r="I26" s="11">
        <f>SUM(BN33:DA33)</f>
        <v>0</v>
      </c>
      <c r="L26" s="43" t="s">
        <v>80</v>
      </c>
      <c r="M26" s="15"/>
      <c r="N26" s="5"/>
      <c r="O26" s="16"/>
      <c r="P26" s="15"/>
      <c r="Q26" s="5"/>
      <c r="R26" s="16"/>
      <c r="S26" s="15"/>
      <c r="T26" s="5"/>
      <c r="U26" s="16"/>
      <c r="V26" s="15"/>
      <c r="W26" s="5"/>
      <c r="X26" s="16"/>
      <c r="Y26" s="15"/>
      <c r="Z26" s="5"/>
      <c r="AA26" s="16"/>
      <c r="AB26" s="15"/>
      <c r="AC26" s="5"/>
      <c r="AD26" s="16"/>
      <c r="AE26" s="15"/>
      <c r="AF26" s="5"/>
      <c r="AG26" s="16"/>
      <c r="AH26" s="15"/>
      <c r="AI26" s="5"/>
      <c r="AJ26" s="16"/>
      <c r="AK26" s="15"/>
      <c r="AL26" s="5"/>
      <c r="AM26" s="16"/>
      <c r="AN26" s="15"/>
      <c r="AO26" s="5"/>
      <c r="AP26" s="16"/>
      <c r="AQ26" s="15"/>
      <c r="AR26" s="5"/>
      <c r="AS26" s="16"/>
      <c r="AT26" s="15"/>
      <c r="AU26" s="5"/>
      <c r="AV26" s="16"/>
      <c r="AW26" s="15"/>
      <c r="AX26" s="5"/>
      <c r="AY26" s="16"/>
      <c r="AZ26" s="11"/>
      <c r="BH26" s="71" t="s">
        <v>125</v>
      </c>
      <c r="BI26" s="75" t="s">
        <v>597</v>
      </c>
      <c r="BJ26" s="72" t="s">
        <v>598</v>
      </c>
      <c r="BM26" s="36" t="s">
        <v>75</v>
      </c>
      <c r="BN26" s="46">
        <f>IF(M21 &lt;&gt; "", VLOOKUP(CONCATENATE("P", M21), pointsSystem, 2, FALSE), 0)</f>
        <v>0</v>
      </c>
      <c r="BO26" s="6">
        <f>IF(N21 &lt;&gt; "", VLOOKUP(CONCATENATE("P", N21), pointsSystem, 3, FALSE), 0)</f>
        <v>0</v>
      </c>
      <c r="BP26" s="47">
        <f>IF(O21 &lt;&gt; "", VLOOKUP(CONCATENATE("P", O21), pointsSystem, 4, FALSE), 0)</f>
        <v>0</v>
      </c>
      <c r="BQ26" s="46">
        <f>IF(P21 &lt;&gt; "", VLOOKUP(CONCATENATE("P", P21), pointsSystem, 2, FALSE), 0)</f>
        <v>0</v>
      </c>
      <c r="BR26" s="6">
        <f>IF(Q21 &lt;&gt; "", VLOOKUP(CONCATENATE("P", Q21), pointsSystem, 3, FALSE), 0)</f>
        <v>0</v>
      </c>
      <c r="BS26" s="47">
        <f>IF(R21 &lt;&gt; "", VLOOKUP(CONCATENATE("P", R21), pointsSystem, 4, FALSE), 0)</f>
        <v>0</v>
      </c>
      <c r="BT26" s="46">
        <f>IF(S21 &lt;&gt; "", VLOOKUP(CONCATENATE("P", S21), pointsSystem, 2, FALSE), 0)</f>
        <v>0</v>
      </c>
      <c r="BU26" s="6">
        <f>IF(T21 &lt;&gt; "", VLOOKUP(CONCATENATE("P", T21), pointsSystem, 3, FALSE), 0)</f>
        <v>0</v>
      </c>
      <c r="BV26" s="47">
        <f>IF(U21 &lt;&gt; "", VLOOKUP(CONCATENATE("P", U21), pointsSystem, 4, FALSE), 0)</f>
        <v>0</v>
      </c>
      <c r="BW26" s="46">
        <f>IF(V21 &lt;&gt; "", VLOOKUP(CONCATENATE("P", V21), pointsSystem, 2, FALSE), 0)</f>
        <v>0</v>
      </c>
      <c r="BX26" s="6">
        <f>IF(W21 &lt;&gt; "", VLOOKUP(CONCATENATE("P", W21), pointsSystem, 3, FALSE), 0)</f>
        <v>0</v>
      </c>
      <c r="BY26" s="47">
        <f>IF(X21 &lt;&gt; "", VLOOKUP(CONCATENATE("P", X21), pointsSystem, 4, FALSE), 0)</f>
        <v>0</v>
      </c>
      <c r="BZ26" s="46">
        <f>IF(Y21 &lt;&gt; "", VLOOKUP(CONCATENATE("P", Y21), pointsSystem, 2, FALSE), 0)</f>
        <v>0</v>
      </c>
      <c r="CA26" s="6">
        <f>IF(Z21 &lt;&gt; "", VLOOKUP(CONCATENATE("P", Z21), pointsSystem, 3, FALSE), 0)</f>
        <v>0</v>
      </c>
      <c r="CB26" s="47">
        <f>IF(AA21 &lt;&gt; "", VLOOKUP(CONCATENATE("P", AA21), pointsSystem, 4, FALSE), 0)</f>
        <v>0</v>
      </c>
      <c r="CC26" s="46">
        <f>IF(AB21 &lt;&gt; "", VLOOKUP(CONCATENATE("P", AB21), pointsSystem, 2, FALSE), 0)</f>
        <v>0</v>
      </c>
      <c r="CD26" s="6">
        <f>IF(AC21 &lt;&gt; "", VLOOKUP(CONCATENATE("P", AC21), pointsSystem, 3, FALSE), 0)</f>
        <v>0</v>
      </c>
      <c r="CE26" s="47">
        <f>IF(AD21 &lt;&gt; "", VLOOKUP(CONCATENATE("P", AD21), pointsSystem, 4, FALSE), 0)</f>
        <v>0</v>
      </c>
      <c r="CF26" s="46">
        <f>IF(AE21 &lt;&gt; "", VLOOKUP(CONCATENATE("P", AE21), pointsSystem, 2, FALSE), 0)</f>
        <v>0</v>
      </c>
      <c r="CG26" s="6">
        <f>IF(AF21 &lt;&gt; "", VLOOKUP(CONCATENATE("P", AF21), pointsSystem, 3, FALSE), 0)</f>
        <v>0</v>
      </c>
      <c r="CH26" s="47">
        <f>IF(AG21 &lt;&gt; "", VLOOKUP(CONCATENATE("P", AG21), pointsSystem, 4, FALSE), 0)</f>
        <v>0</v>
      </c>
      <c r="CI26" s="46">
        <f>IF(AH21 &lt;&gt; "", VLOOKUP(CONCATENATE("P", AH21), pointsSystem, 2, FALSE), 0)</f>
        <v>0</v>
      </c>
      <c r="CJ26" s="6">
        <f>IF(AI21 &lt;&gt; "", VLOOKUP(CONCATENATE("P", AI21), pointsSystem, 3, FALSE), 0)</f>
        <v>0</v>
      </c>
      <c r="CK26" s="47">
        <f>IF(AJ21 &lt;&gt; "", VLOOKUP(CONCATENATE("P", AJ21), pointsSystem, 4, FALSE), 0)</f>
        <v>0</v>
      </c>
      <c r="CL26" s="46">
        <f>IF(AK21 &lt;&gt; "", VLOOKUP(CONCATENATE("P", AK21), pointsSystem, 2, FALSE), 0)</f>
        <v>0</v>
      </c>
      <c r="CM26" s="6">
        <f>IF(AL21 &lt;&gt; "", VLOOKUP(CONCATENATE("P", AL21), pointsSystem, 3, FALSE), 0)</f>
        <v>0</v>
      </c>
      <c r="CN26" s="47">
        <f>IF(AM21 &lt;&gt; "", VLOOKUP(CONCATENATE("P", AM21), pointsSystem, 4, FALSE), 0)</f>
        <v>0</v>
      </c>
      <c r="CO26" s="46">
        <f>IF(AN21 &lt;&gt; "", VLOOKUP(CONCATENATE("P", AN21), pointsSystem, 2, FALSE), 0)</f>
        <v>0</v>
      </c>
      <c r="CP26" s="6">
        <f>IF(AO21 &lt;&gt; "", VLOOKUP(CONCATENATE("P", AO21), pointsSystem, 3, FALSE), 0)</f>
        <v>0</v>
      </c>
      <c r="CQ26" s="47">
        <f>IF(AP21 &lt;&gt; "", VLOOKUP(CONCATENATE("P", AP21), pointsSystem, 4, FALSE), 0)</f>
        <v>0</v>
      </c>
      <c r="CR26" s="46">
        <f>IF(AQ21 &lt;&gt; "", VLOOKUP(CONCATENATE("P", AQ21), pointsSystem, 2, FALSE), 0)</f>
        <v>0</v>
      </c>
      <c r="CS26" s="6">
        <f>IF(AR21 &lt;&gt; "", VLOOKUP(CONCATENATE("P", AR21), pointsSystem, 3, FALSE), 0)</f>
        <v>0</v>
      </c>
      <c r="CT26" s="47">
        <f>IF(AS21 &lt;&gt; "", VLOOKUP(CONCATENATE("P", AS21), pointsSystem, 4, FALSE), 0)</f>
        <v>0</v>
      </c>
      <c r="CU26" s="46">
        <f>IF(AT21 &lt;&gt; "", VLOOKUP(CONCATENATE("P", AT21), pointsSystem, 2, FALSE), 0)</f>
        <v>0</v>
      </c>
      <c r="CV26" s="6">
        <f>IF(AU21 &lt;&gt; "", VLOOKUP(CONCATENATE("P", AU21), pointsSystem, 3, FALSE), 0)</f>
        <v>0</v>
      </c>
      <c r="CW26" s="47">
        <f>IF(AV21 &lt;&gt; "", VLOOKUP(CONCATENATE("P", AV21), pointsSystem, 4, FALSE), 0)</f>
        <v>0</v>
      </c>
      <c r="CX26" s="46">
        <f>IF(AW21 &lt;&gt; "", VLOOKUP(CONCATENATE("P", AW21), pointsSystem, 2, FALSE), 0)</f>
        <v>0</v>
      </c>
      <c r="CY26" s="6">
        <f>IF(AX21 &lt;&gt; "", VLOOKUP(CONCATENATE("P", AX21), pointsSystem, 3, FALSE), 0)</f>
        <v>0</v>
      </c>
      <c r="CZ26" s="47">
        <f>IF(AY21 &lt;&gt; "", VLOOKUP(CONCATENATE("P", AY21), pointsSystem, 4, FALSE), 0)</f>
        <v>0</v>
      </c>
      <c r="DA26" s="48">
        <f>AZ21 * 1</f>
        <v>0</v>
      </c>
    </row>
    <row r="27" spans="2:194" ht="16.8" customHeight="1" thickBot="1" x14ac:dyDescent="0.35">
      <c r="B27" s="8" t="s">
        <v>56</v>
      </c>
      <c r="C27" s="43" t="s">
        <v>290</v>
      </c>
      <c r="D27" s="43" t="s">
        <v>81</v>
      </c>
      <c r="E27" s="43" t="s">
        <v>437</v>
      </c>
      <c r="F27" s="70" t="s">
        <v>34</v>
      </c>
      <c r="G27" s="76" t="s">
        <v>10</v>
      </c>
      <c r="H27" s="72" t="s">
        <v>12</v>
      </c>
      <c r="I27" s="11">
        <f>SUM(BN34:DA34)</f>
        <v>0</v>
      </c>
      <c r="L27" s="43" t="s">
        <v>81</v>
      </c>
      <c r="M27" s="15"/>
      <c r="N27" s="5"/>
      <c r="O27" s="16"/>
      <c r="P27" s="15"/>
      <c r="Q27" s="5"/>
      <c r="R27" s="16"/>
      <c r="S27" s="15"/>
      <c r="T27" s="5"/>
      <c r="U27" s="16"/>
      <c r="V27" s="15"/>
      <c r="W27" s="5"/>
      <c r="X27" s="16"/>
      <c r="Y27" s="15"/>
      <c r="Z27" s="5"/>
      <c r="AA27" s="16"/>
      <c r="AB27" s="15"/>
      <c r="AC27" s="5"/>
      <c r="AD27" s="16"/>
      <c r="AE27" s="15"/>
      <c r="AF27" s="5"/>
      <c r="AG27" s="16"/>
      <c r="AH27" s="15"/>
      <c r="AI27" s="5"/>
      <c r="AJ27" s="16"/>
      <c r="AK27" s="15"/>
      <c r="AL27" s="5"/>
      <c r="AM27" s="16"/>
      <c r="AN27" s="15"/>
      <c r="AO27" s="5"/>
      <c r="AP27" s="16"/>
      <c r="AQ27" s="15"/>
      <c r="AR27" s="5"/>
      <c r="AS27" s="16"/>
      <c r="AT27" s="15"/>
      <c r="AU27" s="5"/>
      <c r="AV27" s="16"/>
      <c r="AW27" s="15"/>
      <c r="AX27" s="5"/>
      <c r="AY27" s="16"/>
      <c r="AZ27" s="11"/>
      <c r="BH27" s="71" t="s">
        <v>125</v>
      </c>
      <c r="BI27" s="75" t="s">
        <v>597</v>
      </c>
      <c r="BJ27" s="72" t="s">
        <v>598</v>
      </c>
      <c r="BM27" s="66" t="s">
        <v>76</v>
      </c>
      <c r="BN27" s="46">
        <f>IF(M22 &lt;&gt; "", VLOOKUP(CONCATENATE("P", M22), pointsSystem, 2, FALSE), 0)</f>
        <v>0</v>
      </c>
      <c r="BO27" s="6">
        <f>IF(N22 &lt;&gt; "", VLOOKUP(CONCATENATE("P", N22), pointsSystem, 3, FALSE), 0)</f>
        <v>0</v>
      </c>
      <c r="BP27" s="47">
        <f>IF(O22 &lt;&gt; "", VLOOKUP(CONCATENATE("P", O22), pointsSystem, 4, FALSE), 0)</f>
        <v>0</v>
      </c>
      <c r="BQ27" s="46">
        <f>IF(P22 &lt;&gt; "", VLOOKUP(CONCATENATE("P", P22), pointsSystem, 2, FALSE), 0)</f>
        <v>0</v>
      </c>
      <c r="BR27" s="6">
        <f>IF(Q22 &lt;&gt; "", VLOOKUP(CONCATENATE("P", Q22), pointsSystem, 3, FALSE), 0)</f>
        <v>0</v>
      </c>
      <c r="BS27" s="47">
        <f>IF(R22 &lt;&gt; "", VLOOKUP(CONCATENATE("P", R22), pointsSystem, 4, FALSE), 0)</f>
        <v>0</v>
      </c>
      <c r="BT27" s="46">
        <f>IF(S22 &lt;&gt; "", VLOOKUP(CONCATENATE("P", S22), pointsSystem, 2, FALSE), 0)</f>
        <v>0</v>
      </c>
      <c r="BU27" s="6">
        <f>IF(T22 &lt;&gt; "", VLOOKUP(CONCATENATE("P", T22), pointsSystem, 3, FALSE), 0)</f>
        <v>0</v>
      </c>
      <c r="BV27" s="47">
        <f>IF(U22 &lt;&gt; "", VLOOKUP(CONCATENATE("P", U22), pointsSystem, 4, FALSE), 0)</f>
        <v>0</v>
      </c>
      <c r="BW27" s="46">
        <f>IF(V22 &lt;&gt; "", VLOOKUP(CONCATENATE("P", V22), pointsSystem, 2, FALSE), 0)</f>
        <v>0</v>
      </c>
      <c r="BX27" s="6">
        <f>IF(W22 &lt;&gt; "", VLOOKUP(CONCATENATE("P", W22), pointsSystem, 3, FALSE), 0)</f>
        <v>0</v>
      </c>
      <c r="BY27" s="47">
        <f>IF(X22 &lt;&gt; "", VLOOKUP(CONCATENATE("P", X22), pointsSystem, 4, FALSE), 0)</f>
        <v>0</v>
      </c>
      <c r="BZ27" s="46">
        <f>IF(Y22 &lt;&gt; "", VLOOKUP(CONCATENATE("P", Y22), pointsSystem, 2, FALSE), 0)</f>
        <v>0</v>
      </c>
      <c r="CA27" s="6">
        <f>IF(Z22 &lt;&gt; "", VLOOKUP(CONCATENATE("P", Z22), pointsSystem, 3, FALSE), 0)</f>
        <v>0</v>
      </c>
      <c r="CB27" s="47">
        <f>IF(AA22 &lt;&gt; "", VLOOKUP(CONCATENATE("P", AA22), pointsSystem, 4, FALSE), 0)</f>
        <v>0</v>
      </c>
      <c r="CC27" s="46">
        <f>IF(AB22 &lt;&gt; "", VLOOKUP(CONCATENATE("P", AB22), pointsSystem, 2, FALSE), 0)</f>
        <v>0</v>
      </c>
      <c r="CD27" s="6">
        <f>IF(AC22 &lt;&gt; "", VLOOKUP(CONCATENATE("P", AC22), pointsSystem, 3, FALSE), 0)</f>
        <v>0</v>
      </c>
      <c r="CE27" s="47">
        <f>IF(AD22 &lt;&gt; "", VLOOKUP(CONCATENATE("P", AD22), pointsSystem, 4, FALSE), 0)</f>
        <v>0</v>
      </c>
      <c r="CF27" s="46">
        <f>IF(AE22 &lt;&gt; "", VLOOKUP(CONCATENATE("P", AE22), pointsSystem, 2, FALSE), 0)</f>
        <v>0</v>
      </c>
      <c r="CG27" s="6">
        <f>IF(AF22 &lt;&gt; "", VLOOKUP(CONCATENATE("P", AF22), pointsSystem, 3, FALSE), 0)</f>
        <v>0</v>
      </c>
      <c r="CH27" s="47">
        <f>IF(AG22 &lt;&gt; "", VLOOKUP(CONCATENATE("P", AG22), pointsSystem, 4, FALSE), 0)</f>
        <v>0</v>
      </c>
      <c r="CI27" s="46">
        <f>IF(AH22 &lt;&gt; "", VLOOKUP(CONCATENATE("P", AH22), pointsSystem, 2, FALSE), 0)</f>
        <v>0</v>
      </c>
      <c r="CJ27" s="6">
        <f>IF(AI22 &lt;&gt; "", VLOOKUP(CONCATENATE("P", AI22), pointsSystem, 3, FALSE), 0)</f>
        <v>0</v>
      </c>
      <c r="CK27" s="47">
        <f>IF(AJ22 &lt;&gt; "", VLOOKUP(CONCATENATE("P", AJ22), pointsSystem, 4, FALSE), 0)</f>
        <v>0</v>
      </c>
      <c r="CL27" s="46">
        <f>IF(AK22 &lt;&gt; "", VLOOKUP(CONCATENATE("P", AK22), pointsSystem, 2, FALSE), 0)</f>
        <v>0</v>
      </c>
      <c r="CM27" s="6">
        <f>IF(AL22 &lt;&gt; "", VLOOKUP(CONCATENATE("P", AL22), pointsSystem, 3, FALSE), 0)</f>
        <v>0</v>
      </c>
      <c r="CN27" s="47">
        <f>IF(AM22 &lt;&gt; "", VLOOKUP(CONCATENATE("P", AM22), pointsSystem, 4, FALSE), 0)</f>
        <v>0</v>
      </c>
      <c r="CO27" s="46">
        <f>IF(AN22 &lt;&gt; "", VLOOKUP(CONCATENATE("P", AN22), pointsSystem, 2, FALSE), 0)</f>
        <v>0</v>
      </c>
      <c r="CP27" s="6">
        <f>IF(AO22 &lt;&gt; "", VLOOKUP(CONCATENATE("P", AO22), pointsSystem, 3, FALSE), 0)</f>
        <v>0</v>
      </c>
      <c r="CQ27" s="47">
        <f>IF(AP22 &lt;&gt; "", VLOOKUP(CONCATENATE("P", AP22), pointsSystem, 4, FALSE), 0)</f>
        <v>0</v>
      </c>
      <c r="CR27" s="46">
        <f>IF(AQ22 &lt;&gt; "", VLOOKUP(CONCATENATE("P", AQ22), pointsSystem, 2, FALSE), 0)</f>
        <v>0</v>
      </c>
      <c r="CS27" s="6">
        <f>IF(AR22 &lt;&gt; "", VLOOKUP(CONCATENATE("P", AR22), pointsSystem, 3, FALSE), 0)</f>
        <v>0</v>
      </c>
      <c r="CT27" s="47">
        <f>IF(AS22 &lt;&gt; "", VLOOKUP(CONCATENATE("P", AS22), pointsSystem, 4, FALSE), 0)</f>
        <v>0</v>
      </c>
      <c r="CU27" s="46">
        <f>IF(AT22 &lt;&gt; "", VLOOKUP(CONCATENATE("P", AT22), pointsSystem, 2, FALSE), 0)</f>
        <v>0</v>
      </c>
      <c r="CV27" s="6">
        <f>IF(AU22 &lt;&gt; "", VLOOKUP(CONCATENATE("P", AU22), pointsSystem, 3, FALSE), 0)</f>
        <v>0</v>
      </c>
      <c r="CW27" s="47">
        <f>IF(AV22 &lt;&gt; "", VLOOKUP(CONCATENATE("P", AV22), pointsSystem, 4, FALSE), 0)</f>
        <v>0</v>
      </c>
      <c r="CX27" s="46">
        <f>IF(AW22 &lt;&gt; "", VLOOKUP(CONCATENATE("P", AW22), pointsSystem, 2, FALSE), 0)</f>
        <v>0</v>
      </c>
      <c r="CY27" s="6">
        <f>IF(AX22 &lt;&gt; "", VLOOKUP(CONCATENATE("P", AX22), pointsSystem, 3, FALSE), 0)</f>
        <v>0</v>
      </c>
      <c r="CZ27" s="47">
        <f>IF(AY22 &lt;&gt; "", VLOOKUP(CONCATENATE("P", AY22), pointsSystem, 4, FALSE), 0)</f>
        <v>0</v>
      </c>
      <c r="DA27" s="48">
        <f>AZ22 * 1</f>
        <v>0</v>
      </c>
      <c r="EU27" s="192" t="s">
        <v>3</v>
      </c>
      <c r="EV27" s="177" t="s">
        <v>358</v>
      </c>
      <c r="EW27" s="229"/>
      <c r="EX27" s="178"/>
      <c r="EY27" s="177" t="s">
        <v>359</v>
      </c>
      <c r="EZ27" s="229"/>
      <c r="FA27" s="178"/>
      <c r="FB27" s="177" t="s">
        <v>360</v>
      </c>
      <c r="FC27" s="229"/>
      <c r="FD27" s="178"/>
      <c r="FE27" s="177" t="s">
        <v>361</v>
      </c>
      <c r="FF27" s="229"/>
      <c r="FG27" s="178"/>
      <c r="FH27" s="177" t="s">
        <v>362</v>
      </c>
      <c r="FI27" s="229"/>
      <c r="FJ27" s="178"/>
      <c r="FK27" s="177" t="s">
        <v>363</v>
      </c>
      <c r="FL27" s="229"/>
      <c r="FM27" s="178"/>
      <c r="FN27" s="177" t="s">
        <v>364</v>
      </c>
      <c r="FO27" s="229"/>
      <c r="FP27" s="178"/>
      <c r="FQ27" s="223" t="s">
        <v>365</v>
      </c>
      <c r="FR27" s="229"/>
      <c r="FS27" s="222"/>
      <c r="FT27" s="177" t="s">
        <v>366</v>
      </c>
      <c r="FU27" s="229"/>
      <c r="FV27" s="178"/>
      <c r="FW27" s="177" t="s">
        <v>367</v>
      </c>
      <c r="FX27" s="229"/>
      <c r="FY27" s="178"/>
      <c r="FZ27" s="177" t="s">
        <v>425</v>
      </c>
      <c r="GA27" s="229"/>
      <c r="GB27" s="178"/>
      <c r="GC27" s="177" t="s">
        <v>426</v>
      </c>
      <c r="GD27" s="229"/>
      <c r="GE27" s="178"/>
      <c r="GF27" s="177" t="s">
        <v>591</v>
      </c>
      <c r="GG27" s="229"/>
      <c r="GH27" s="178"/>
      <c r="GI27" s="230" t="s">
        <v>412</v>
      </c>
      <c r="GL27" s="202" t="s">
        <v>45</v>
      </c>
    </row>
    <row r="28" spans="2:194" ht="16.8" customHeight="1" thickBot="1" x14ac:dyDescent="0.35">
      <c r="B28" s="8" t="s">
        <v>57</v>
      </c>
      <c r="C28" s="43" t="s">
        <v>228</v>
      </c>
      <c r="D28" s="43" t="s">
        <v>82</v>
      </c>
      <c r="E28" s="43" t="s">
        <v>437</v>
      </c>
      <c r="F28" s="70" t="s">
        <v>34</v>
      </c>
      <c r="G28" s="76" t="s">
        <v>10</v>
      </c>
      <c r="H28" s="72" t="s">
        <v>12</v>
      </c>
      <c r="I28" s="11">
        <f>SUM(BN35:DA35)</f>
        <v>0</v>
      </c>
      <c r="L28" s="43" t="s">
        <v>82</v>
      </c>
      <c r="M28" s="15"/>
      <c r="N28" s="5"/>
      <c r="O28" s="16"/>
      <c r="P28" s="15"/>
      <c r="Q28" s="5"/>
      <c r="R28" s="16"/>
      <c r="S28" s="15"/>
      <c r="T28" s="5"/>
      <c r="U28" s="16"/>
      <c r="V28" s="15"/>
      <c r="W28" s="5"/>
      <c r="X28" s="16"/>
      <c r="Y28" s="15"/>
      <c r="Z28" s="5"/>
      <c r="AA28" s="16"/>
      <c r="AB28" s="15"/>
      <c r="AC28" s="5"/>
      <c r="AD28" s="16"/>
      <c r="AE28" s="15"/>
      <c r="AF28" s="5"/>
      <c r="AG28" s="16"/>
      <c r="AH28" s="15"/>
      <c r="AI28" s="5"/>
      <c r="AJ28" s="16"/>
      <c r="AK28" s="15"/>
      <c r="AL28" s="5"/>
      <c r="AM28" s="16"/>
      <c r="AN28" s="15"/>
      <c r="AO28" s="5"/>
      <c r="AP28" s="16"/>
      <c r="AQ28" s="15"/>
      <c r="AR28" s="5"/>
      <c r="AS28" s="16"/>
      <c r="AT28" s="15"/>
      <c r="AU28" s="5"/>
      <c r="AV28" s="16"/>
      <c r="AW28" s="15"/>
      <c r="AX28" s="5"/>
      <c r="AY28" s="16"/>
      <c r="AZ28" s="11"/>
      <c r="BH28" s="71" t="s">
        <v>125</v>
      </c>
      <c r="BI28" s="75" t="s">
        <v>597</v>
      </c>
      <c r="BJ28" s="72" t="s">
        <v>598</v>
      </c>
      <c r="BM28" s="36" t="s">
        <v>340</v>
      </c>
      <c r="BN28" s="46">
        <f>IF(M42 &lt;&gt; "", VLOOKUP(CONCATENATE("P", M42), pointsSystem, 2, FALSE), 0)</f>
        <v>0</v>
      </c>
      <c r="BO28" s="6">
        <f>IF(N42 &lt;&gt; "", VLOOKUP(CONCATENATE("P", N42), pointsSystem, 3, FALSE), 0)</f>
        <v>0</v>
      </c>
      <c r="BP28" s="47">
        <f>IF(O42 &lt;&gt; "", VLOOKUP(CONCATENATE("P", O42), pointsSystem, 4, FALSE), 0)</f>
        <v>0</v>
      </c>
      <c r="BQ28" s="46">
        <f>IF(P42 &lt;&gt; "", VLOOKUP(CONCATENATE("P", P42), pointsSystem, 2, FALSE), 0)</f>
        <v>0</v>
      </c>
      <c r="BR28" s="6">
        <f>IF(Q42 &lt;&gt; "", VLOOKUP(CONCATENATE("P", Q42), pointsSystem, 3, FALSE), 0)</f>
        <v>0</v>
      </c>
      <c r="BS28" s="47">
        <f>IF(R42 &lt;&gt; "", VLOOKUP(CONCATENATE("P", R42), pointsSystem, 4, FALSE), 0)</f>
        <v>0</v>
      </c>
      <c r="BT28" s="46">
        <f>IF(S42 &lt;&gt; "", VLOOKUP(CONCATENATE("P", S42), pointsSystem, 2, FALSE), 0)</f>
        <v>0</v>
      </c>
      <c r="BU28" s="6">
        <f>IF(T42 &lt;&gt; "", VLOOKUP(CONCATENATE("P", T42), pointsSystem, 3, FALSE), 0)</f>
        <v>0</v>
      </c>
      <c r="BV28" s="47">
        <f>IF(U42 &lt;&gt; "", VLOOKUP(CONCATENATE("P", U42), pointsSystem, 4, FALSE), 0)</f>
        <v>0</v>
      </c>
      <c r="BW28" s="46">
        <f>IF(V42 &lt;&gt; "", VLOOKUP(CONCATENATE("P", V42), pointsSystem, 2, FALSE), 0)</f>
        <v>0</v>
      </c>
      <c r="BX28" s="6">
        <f>IF(W42 &lt;&gt; "", VLOOKUP(CONCATENATE("P", W42), pointsSystem, 3, FALSE), 0)</f>
        <v>0</v>
      </c>
      <c r="BY28" s="47">
        <f>IF(X42 &lt;&gt; "", VLOOKUP(CONCATENATE("P", X42), pointsSystem, 4, FALSE), 0)</f>
        <v>0</v>
      </c>
      <c r="BZ28" s="46">
        <f>IF(Y42 &lt;&gt; "", VLOOKUP(CONCATENATE("P", Y42), pointsSystem, 2, FALSE), 0)</f>
        <v>0</v>
      </c>
      <c r="CA28" s="6">
        <f>IF(Z42 &lt;&gt; "", VLOOKUP(CONCATENATE("P", Z42), pointsSystem, 3, FALSE), 0)</f>
        <v>0</v>
      </c>
      <c r="CB28" s="47">
        <f>IF(AA42 &lt;&gt; "", VLOOKUP(CONCATENATE("P", AA42), pointsSystem, 4, FALSE), 0)</f>
        <v>0</v>
      </c>
      <c r="CC28" s="46">
        <f>IF(AB42 &lt;&gt; "", VLOOKUP(CONCATENATE("P", AB42), pointsSystem, 2, FALSE), 0)</f>
        <v>0</v>
      </c>
      <c r="CD28" s="6">
        <f>IF(AC42 &lt;&gt; "", VLOOKUP(CONCATENATE("P", AC42), pointsSystem, 3, FALSE), 0)</f>
        <v>0</v>
      </c>
      <c r="CE28" s="47">
        <f>IF(AD42 &lt;&gt; "", VLOOKUP(CONCATENATE("P", AD42), pointsSystem, 4, FALSE), 0)</f>
        <v>0</v>
      </c>
      <c r="CF28" s="46">
        <f>IF(AE42 &lt;&gt; "", VLOOKUP(CONCATENATE("P", AE42), pointsSystem, 2, FALSE), 0)</f>
        <v>0</v>
      </c>
      <c r="CG28" s="6">
        <f>IF(AF42 &lt;&gt; "", VLOOKUP(CONCATENATE("P", AF42), pointsSystem, 3, FALSE), 0)</f>
        <v>0</v>
      </c>
      <c r="CH28" s="47">
        <f>IF(AG42 &lt;&gt; "", VLOOKUP(CONCATENATE("P", AG42), pointsSystem, 4, FALSE), 0)</f>
        <v>0</v>
      </c>
      <c r="CI28" s="46">
        <f>IF(AH42 &lt;&gt; "", VLOOKUP(CONCATENATE("P", AH42), pointsSystem, 2, FALSE), 0)</f>
        <v>0</v>
      </c>
      <c r="CJ28" s="6">
        <f>IF(AI42 &lt;&gt; "", VLOOKUP(CONCATENATE("P", AI42), pointsSystem, 3, FALSE), 0)</f>
        <v>0</v>
      </c>
      <c r="CK28" s="47">
        <f>IF(AJ42 &lt;&gt; "", VLOOKUP(CONCATENATE("P", AJ42), pointsSystem, 4, FALSE), 0)</f>
        <v>0</v>
      </c>
      <c r="CL28" s="46">
        <f>IF(AK42 &lt;&gt; "", VLOOKUP(CONCATENATE("P", AK42), pointsSystem, 2, FALSE), 0)</f>
        <v>0</v>
      </c>
      <c r="CM28" s="6">
        <f>IF(AL42 &lt;&gt; "", VLOOKUP(CONCATENATE("P", AL42), pointsSystem, 3, FALSE), 0)</f>
        <v>0</v>
      </c>
      <c r="CN28" s="47">
        <f>IF(AM42 &lt;&gt; "", VLOOKUP(CONCATENATE("P", AM42), pointsSystem, 4, FALSE), 0)</f>
        <v>0</v>
      </c>
      <c r="CO28" s="46">
        <f>IF(AN42 &lt;&gt; "", VLOOKUP(CONCATENATE("P", AN42), pointsSystem, 2, FALSE), 0)</f>
        <v>0</v>
      </c>
      <c r="CP28" s="6">
        <f>IF(AO42 &lt;&gt; "", VLOOKUP(CONCATENATE("P", AO42), pointsSystem, 3, FALSE), 0)</f>
        <v>0</v>
      </c>
      <c r="CQ28" s="47">
        <f>IF(AP42 &lt;&gt; "", VLOOKUP(CONCATENATE("P", AP42), pointsSystem, 4, FALSE), 0)</f>
        <v>0</v>
      </c>
      <c r="CR28" s="46">
        <f>IF(AQ42 &lt;&gt; "", VLOOKUP(CONCATENATE("P", AQ42), pointsSystem, 2, FALSE), 0)</f>
        <v>0</v>
      </c>
      <c r="CS28" s="6">
        <f>IF(AR42 &lt;&gt; "", VLOOKUP(CONCATENATE("P", AR42), pointsSystem, 3, FALSE), 0)</f>
        <v>0</v>
      </c>
      <c r="CT28" s="47">
        <f>IF(AS42 &lt;&gt; "", VLOOKUP(CONCATENATE("P", AS42), pointsSystem, 4, FALSE), 0)</f>
        <v>0</v>
      </c>
      <c r="CU28" s="46">
        <f>IF(AT42 &lt;&gt; "", VLOOKUP(CONCATENATE("P", AT42), pointsSystem, 2, FALSE), 0)</f>
        <v>0</v>
      </c>
      <c r="CV28" s="6">
        <f>IF(AU42 &lt;&gt; "", VLOOKUP(CONCATENATE("P", AU42), pointsSystem, 3, FALSE), 0)</f>
        <v>0</v>
      </c>
      <c r="CW28" s="47">
        <f>IF(AV42 &lt;&gt; "", VLOOKUP(CONCATENATE("P", AV42), pointsSystem, 4, FALSE), 0)</f>
        <v>0</v>
      </c>
      <c r="CX28" s="46">
        <f>IF(AW42 &lt;&gt; "", VLOOKUP(CONCATENATE("P", AW42), pointsSystem, 2, FALSE), 0)</f>
        <v>0</v>
      </c>
      <c r="CY28" s="6">
        <f>IF(AX42 &lt;&gt; "", VLOOKUP(CONCATENATE("P", AX42), pointsSystem, 3, FALSE), 0)</f>
        <v>0</v>
      </c>
      <c r="CZ28" s="47">
        <f>IF(AY42 &lt;&gt; "", VLOOKUP(CONCATENATE("P", AY42), pointsSystem, 4, FALSE), 0)</f>
        <v>0</v>
      </c>
      <c r="DA28" s="48">
        <f>AZ42 * 1</f>
        <v>0</v>
      </c>
      <c r="EU28" s="192"/>
      <c r="EV28" s="79" t="s">
        <v>16</v>
      </c>
      <c r="EW28" s="80" t="s">
        <v>17</v>
      </c>
      <c r="EX28" s="81" t="s">
        <v>18</v>
      </c>
      <c r="EY28" s="79" t="s">
        <v>16</v>
      </c>
      <c r="EZ28" s="80" t="s">
        <v>17</v>
      </c>
      <c r="FA28" s="81" t="s">
        <v>18</v>
      </c>
      <c r="FB28" s="79" t="s">
        <v>16</v>
      </c>
      <c r="FC28" s="80" t="s">
        <v>17</v>
      </c>
      <c r="FD28" s="81" t="s">
        <v>18</v>
      </c>
      <c r="FE28" s="79" t="s">
        <v>16</v>
      </c>
      <c r="FF28" s="80" t="s">
        <v>17</v>
      </c>
      <c r="FG28" s="81" t="s">
        <v>18</v>
      </c>
      <c r="FH28" s="79" t="s">
        <v>16</v>
      </c>
      <c r="FI28" s="80" t="s">
        <v>17</v>
      </c>
      <c r="FJ28" s="81" t="s">
        <v>18</v>
      </c>
      <c r="FK28" s="79" t="s">
        <v>16</v>
      </c>
      <c r="FL28" s="80" t="s">
        <v>17</v>
      </c>
      <c r="FM28" s="81" t="s">
        <v>18</v>
      </c>
      <c r="FN28" s="79" t="s">
        <v>16</v>
      </c>
      <c r="FO28" s="80" t="s">
        <v>17</v>
      </c>
      <c r="FP28" s="81" t="s">
        <v>18</v>
      </c>
      <c r="FQ28" s="82" t="s">
        <v>16</v>
      </c>
      <c r="FR28" s="80" t="s">
        <v>17</v>
      </c>
      <c r="FS28" s="83" t="s">
        <v>18</v>
      </c>
      <c r="FT28" s="79" t="s">
        <v>16</v>
      </c>
      <c r="FU28" s="80" t="s">
        <v>17</v>
      </c>
      <c r="FV28" s="81" t="s">
        <v>18</v>
      </c>
      <c r="FW28" s="79" t="s">
        <v>16</v>
      </c>
      <c r="FX28" s="80" t="s">
        <v>17</v>
      </c>
      <c r="FY28" s="81" t="s">
        <v>18</v>
      </c>
      <c r="FZ28" s="79" t="s">
        <v>16</v>
      </c>
      <c r="GA28" s="80" t="s">
        <v>17</v>
      </c>
      <c r="GB28" s="81" t="s">
        <v>18</v>
      </c>
      <c r="GC28" s="79" t="s">
        <v>16</v>
      </c>
      <c r="GD28" s="80" t="s">
        <v>17</v>
      </c>
      <c r="GE28" s="81" t="s">
        <v>18</v>
      </c>
      <c r="GF28" s="79" t="s">
        <v>16</v>
      </c>
      <c r="GG28" s="80" t="s">
        <v>17</v>
      </c>
      <c r="GH28" s="81" t="s">
        <v>18</v>
      </c>
      <c r="GI28" s="231"/>
      <c r="GL28" s="192"/>
    </row>
    <row r="29" spans="2:194" ht="16.8" customHeight="1" thickBot="1" x14ac:dyDescent="0.35">
      <c r="B29" s="8" t="s">
        <v>315</v>
      </c>
      <c r="C29" s="131" t="s">
        <v>203</v>
      </c>
      <c r="D29" s="131" t="s">
        <v>321</v>
      </c>
      <c r="E29" s="131" t="s">
        <v>605</v>
      </c>
      <c r="F29" s="69" t="s">
        <v>5</v>
      </c>
      <c r="G29" s="66" t="s">
        <v>7</v>
      </c>
      <c r="H29" s="78" t="s">
        <v>11</v>
      </c>
      <c r="I29" s="11">
        <f>SUM(BN37:DA37)</f>
        <v>0</v>
      </c>
      <c r="L29" s="131" t="s">
        <v>321</v>
      </c>
      <c r="M29" s="15"/>
      <c r="N29" s="5"/>
      <c r="O29" s="16"/>
      <c r="P29" s="15"/>
      <c r="Q29" s="5"/>
      <c r="R29" s="16"/>
      <c r="S29" s="15"/>
      <c r="T29" s="5"/>
      <c r="U29" s="16"/>
      <c r="V29" s="15"/>
      <c r="W29" s="5"/>
      <c r="X29" s="16"/>
      <c r="Y29" s="15"/>
      <c r="Z29" s="5"/>
      <c r="AA29" s="16"/>
      <c r="AB29" s="15"/>
      <c r="AC29" s="5"/>
      <c r="AD29" s="16"/>
      <c r="AE29" s="15"/>
      <c r="AF29" s="5"/>
      <c r="AG29" s="16"/>
      <c r="AH29" s="15"/>
      <c r="AI29" s="5"/>
      <c r="AJ29" s="16"/>
      <c r="AK29" s="15"/>
      <c r="AL29" s="5"/>
      <c r="AM29" s="16"/>
      <c r="AN29" s="15"/>
      <c r="AO29" s="5"/>
      <c r="AP29" s="16"/>
      <c r="AQ29" s="15"/>
      <c r="AR29" s="5"/>
      <c r="AS29" s="16"/>
      <c r="AT29" s="15"/>
      <c r="AU29" s="5"/>
      <c r="AV29" s="16"/>
      <c r="AW29" s="15"/>
      <c r="AX29" s="5"/>
      <c r="AY29" s="16"/>
      <c r="AZ29" s="11"/>
      <c r="BH29" s="69" t="s">
        <v>593</v>
      </c>
      <c r="BI29" s="66" t="s">
        <v>595</v>
      </c>
      <c r="BJ29" s="78" t="s">
        <v>599</v>
      </c>
      <c r="BM29" s="41" t="s">
        <v>77</v>
      </c>
      <c r="BN29" s="46">
        <f>IF(M23 &lt;&gt; "", VLOOKUP(CONCATENATE("P", M23), pointsSystem, 2, FALSE), 0)</f>
        <v>0</v>
      </c>
      <c r="BO29" s="6">
        <f>IF(N23 &lt;&gt; "", VLOOKUP(CONCATENATE("P", N23), pointsSystem, 3, FALSE), 0)</f>
        <v>0</v>
      </c>
      <c r="BP29" s="47">
        <f>IF(O23 &lt;&gt; "", VLOOKUP(CONCATENATE("P", O23), pointsSystem, 4, FALSE), 0)</f>
        <v>0</v>
      </c>
      <c r="BQ29" s="46">
        <f>IF(P23 &lt;&gt; "", VLOOKUP(CONCATENATE("P", P23), pointsSystem, 2, FALSE), 0)</f>
        <v>0</v>
      </c>
      <c r="BR29" s="6">
        <f>IF(Q23 &lt;&gt; "", VLOOKUP(CONCATENATE("P", Q23), pointsSystem, 3, FALSE), 0)</f>
        <v>0</v>
      </c>
      <c r="BS29" s="47">
        <f>IF(R23 &lt;&gt; "", VLOOKUP(CONCATENATE("P", R23), pointsSystem, 4, FALSE), 0)</f>
        <v>0</v>
      </c>
      <c r="BT29" s="46">
        <f>IF(S23 &lt;&gt; "", VLOOKUP(CONCATENATE("P", S23), pointsSystem, 2, FALSE), 0)</f>
        <v>0</v>
      </c>
      <c r="BU29" s="6">
        <f>IF(T23 &lt;&gt; "", VLOOKUP(CONCATENATE("P", T23), pointsSystem, 3, FALSE), 0)</f>
        <v>0</v>
      </c>
      <c r="BV29" s="47">
        <f>IF(U23 &lt;&gt; "", VLOOKUP(CONCATENATE("P", U23), pointsSystem, 4, FALSE), 0)</f>
        <v>0</v>
      </c>
      <c r="BW29" s="46">
        <f>IF(V23 &lt;&gt; "", VLOOKUP(CONCATENATE("P", V23), pointsSystem, 2, FALSE), 0)</f>
        <v>0</v>
      </c>
      <c r="BX29" s="6">
        <f>IF(W23 &lt;&gt; "", VLOOKUP(CONCATENATE("P", W23), pointsSystem, 3, FALSE), 0)</f>
        <v>0</v>
      </c>
      <c r="BY29" s="47">
        <f>IF(X23 &lt;&gt; "", VLOOKUP(CONCATENATE("P", X23), pointsSystem, 4, FALSE), 0)</f>
        <v>0</v>
      </c>
      <c r="BZ29" s="46">
        <f>IF(Y23 &lt;&gt; "", VLOOKUP(CONCATENATE("P", Y23), pointsSystem, 2, FALSE), 0)</f>
        <v>0</v>
      </c>
      <c r="CA29" s="6">
        <f>IF(Z23 &lt;&gt; "", VLOOKUP(CONCATENATE("P", Z23), pointsSystem, 3, FALSE), 0)</f>
        <v>0</v>
      </c>
      <c r="CB29" s="47">
        <f>IF(AA23 &lt;&gt; "", VLOOKUP(CONCATENATE("P", AA23), pointsSystem, 4, FALSE), 0)</f>
        <v>0</v>
      </c>
      <c r="CC29" s="46">
        <f>IF(AB23 &lt;&gt; "", VLOOKUP(CONCATENATE("P", AB23), pointsSystem, 2, FALSE), 0)</f>
        <v>0</v>
      </c>
      <c r="CD29" s="6">
        <f>IF(AC23 &lt;&gt; "", VLOOKUP(CONCATENATE("P", AC23), pointsSystem, 3, FALSE), 0)</f>
        <v>0</v>
      </c>
      <c r="CE29" s="47">
        <f>IF(AD23 &lt;&gt; "", VLOOKUP(CONCATENATE("P", AD23), pointsSystem, 4, FALSE), 0)</f>
        <v>0</v>
      </c>
      <c r="CF29" s="46">
        <f>IF(AE23 &lt;&gt; "", VLOOKUP(CONCATENATE("P", AE23), pointsSystem, 2, FALSE), 0)</f>
        <v>0</v>
      </c>
      <c r="CG29" s="6">
        <f>IF(AF23 &lt;&gt; "", VLOOKUP(CONCATENATE("P", AF23), pointsSystem, 3, FALSE), 0)</f>
        <v>0</v>
      </c>
      <c r="CH29" s="47">
        <f>IF(AG23 &lt;&gt; "", VLOOKUP(CONCATENATE("P", AG23), pointsSystem, 4, FALSE), 0)</f>
        <v>0</v>
      </c>
      <c r="CI29" s="46">
        <f>IF(AH23 &lt;&gt; "", VLOOKUP(CONCATENATE("P", AH23), pointsSystem, 2, FALSE), 0)</f>
        <v>0</v>
      </c>
      <c r="CJ29" s="6">
        <f>IF(AI23 &lt;&gt; "", VLOOKUP(CONCATENATE("P", AI23), pointsSystem, 3, FALSE), 0)</f>
        <v>0</v>
      </c>
      <c r="CK29" s="47">
        <f>IF(AJ23 &lt;&gt; "", VLOOKUP(CONCATENATE("P", AJ23), pointsSystem, 4, FALSE), 0)</f>
        <v>0</v>
      </c>
      <c r="CL29" s="46">
        <f>IF(AK23 &lt;&gt; "", VLOOKUP(CONCATENATE("P", AK23), pointsSystem, 2, FALSE), 0)</f>
        <v>0</v>
      </c>
      <c r="CM29" s="6">
        <f>IF(AL23 &lt;&gt; "", VLOOKUP(CONCATENATE("P", AL23), pointsSystem, 3, FALSE), 0)</f>
        <v>0</v>
      </c>
      <c r="CN29" s="47">
        <f>IF(AM23 &lt;&gt; "", VLOOKUP(CONCATENATE("P", AM23), pointsSystem, 4, FALSE), 0)</f>
        <v>0</v>
      </c>
      <c r="CO29" s="46">
        <f>IF(AN23 &lt;&gt; "", VLOOKUP(CONCATENATE("P", AN23), pointsSystem, 2, FALSE), 0)</f>
        <v>0</v>
      </c>
      <c r="CP29" s="6">
        <f>IF(AO23 &lt;&gt; "", VLOOKUP(CONCATENATE("P", AO23), pointsSystem, 3, FALSE), 0)</f>
        <v>0</v>
      </c>
      <c r="CQ29" s="47">
        <f>IF(AP23 &lt;&gt; "", VLOOKUP(CONCATENATE("P", AP23), pointsSystem, 4, FALSE), 0)</f>
        <v>0</v>
      </c>
      <c r="CR29" s="46">
        <f>IF(AQ23 &lt;&gt; "", VLOOKUP(CONCATENATE("P", AQ23), pointsSystem, 2, FALSE), 0)</f>
        <v>0</v>
      </c>
      <c r="CS29" s="6">
        <f>IF(AR23 &lt;&gt; "", VLOOKUP(CONCATENATE("P", AR23), pointsSystem, 3, FALSE), 0)</f>
        <v>0</v>
      </c>
      <c r="CT29" s="47">
        <f>IF(AS23 &lt;&gt; "", VLOOKUP(CONCATENATE("P", AS23), pointsSystem, 4, FALSE), 0)</f>
        <v>0</v>
      </c>
      <c r="CU29" s="46">
        <f>IF(AT23 &lt;&gt; "", VLOOKUP(CONCATENATE("P", AT23), pointsSystem, 2, FALSE), 0)</f>
        <v>0</v>
      </c>
      <c r="CV29" s="6">
        <f>IF(AU23 &lt;&gt; "", VLOOKUP(CONCATENATE("P", AU23), pointsSystem, 3, FALSE), 0)</f>
        <v>0</v>
      </c>
      <c r="CW29" s="47">
        <f>IF(AV23 &lt;&gt; "", VLOOKUP(CONCATENATE("P", AV23), pointsSystem, 4, FALSE), 0)</f>
        <v>0</v>
      </c>
      <c r="CX29" s="46">
        <f>IF(AW23 &lt;&gt; "", VLOOKUP(CONCATENATE("P", AW23), pointsSystem, 2, FALSE), 0)</f>
        <v>0</v>
      </c>
      <c r="CY29" s="6">
        <f>IF(AX23 &lt;&gt; "", VLOOKUP(CONCATENATE("P", AX23), pointsSystem, 3, FALSE), 0)</f>
        <v>0</v>
      </c>
      <c r="CZ29" s="47">
        <f>IF(AY23 &lt;&gt; "", VLOOKUP(CONCATENATE("P", AY23), pointsSystem, 4, FALSE), 0)</f>
        <v>0</v>
      </c>
      <c r="DA29" s="48">
        <f>AZ23 * 1</f>
        <v>0</v>
      </c>
      <c r="EU29" s="232" t="s">
        <v>11</v>
      </c>
      <c r="EV29" s="13">
        <f>MAX(BN29:BN32, BN37:BN40)</f>
        <v>0</v>
      </c>
      <c r="EW29" s="30">
        <f t="shared" ref="EW29:GG29" si="101">MAX(BO29:BO32, BO37:BO40)</f>
        <v>0</v>
      </c>
      <c r="EX29" s="14">
        <f t="shared" si="101"/>
        <v>0</v>
      </c>
      <c r="EY29" s="13">
        <f t="shared" si="101"/>
        <v>0</v>
      </c>
      <c r="EZ29" s="30">
        <f t="shared" si="101"/>
        <v>0</v>
      </c>
      <c r="FA29" s="14">
        <f t="shared" si="101"/>
        <v>0</v>
      </c>
      <c r="FB29" s="13">
        <f t="shared" si="101"/>
        <v>0</v>
      </c>
      <c r="FC29" s="30">
        <f t="shared" si="101"/>
        <v>0</v>
      </c>
      <c r="FD29" s="14">
        <f t="shared" si="101"/>
        <v>0</v>
      </c>
      <c r="FE29" s="13">
        <f t="shared" si="101"/>
        <v>0</v>
      </c>
      <c r="FF29" s="30">
        <f t="shared" si="101"/>
        <v>0</v>
      </c>
      <c r="FG29" s="14">
        <f t="shared" si="101"/>
        <v>0</v>
      </c>
      <c r="FH29" s="13">
        <f t="shared" si="101"/>
        <v>0</v>
      </c>
      <c r="FI29" s="30">
        <f t="shared" si="101"/>
        <v>0</v>
      </c>
      <c r="FJ29" s="14">
        <f t="shared" si="101"/>
        <v>0</v>
      </c>
      <c r="FK29" s="13">
        <f t="shared" si="101"/>
        <v>0</v>
      </c>
      <c r="FL29" s="30">
        <f t="shared" si="101"/>
        <v>0</v>
      </c>
      <c r="FM29" s="14">
        <f t="shared" si="101"/>
        <v>0</v>
      </c>
      <c r="FN29" s="13">
        <f t="shared" si="101"/>
        <v>0</v>
      </c>
      <c r="FO29" s="30">
        <f t="shared" si="101"/>
        <v>0</v>
      </c>
      <c r="FP29" s="14">
        <f t="shared" si="101"/>
        <v>0</v>
      </c>
      <c r="FQ29" s="85">
        <f t="shared" si="101"/>
        <v>0</v>
      </c>
      <c r="FR29" s="30">
        <f t="shared" si="101"/>
        <v>0</v>
      </c>
      <c r="FS29" s="49">
        <f t="shared" si="101"/>
        <v>0</v>
      </c>
      <c r="FT29" s="13">
        <f t="shared" si="101"/>
        <v>0</v>
      </c>
      <c r="FU29" s="30">
        <f t="shared" si="101"/>
        <v>0</v>
      </c>
      <c r="FV29" s="14">
        <f t="shared" si="101"/>
        <v>0</v>
      </c>
      <c r="FW29" s="13">
        <f t="shared" si="101"/>
        <v>0</v>
      </c>
      <c r="FX29" s="30">
        <f t="shared" si="101"/>
        <v>0</v>
      </c>
      <c r="FY29" s="14">
        <f t="shared" si="101"/>
        <v>0</v>
      </c>
      <c r="FZ29" s="13">
        <f t="shared" si="101"/>
        <v>0</v>
      </c>
      <c r="GA29" s="30">
        <f t="shared" si="101"/>
        <v>0</v>
      </c>
      <c r="GB29" s="14">
        <f t="shared" si="101"/>
        <v>0</v>
      </c>
      <c r="GC29" s="13">
        <f t="shared" si="101"/>
        <v>0</v>
      </c>
      <c r="GD29" s="30">
        <f t="shared" si="101"/>
        <v>0</v>
      </c>
      <c r="GE29" s="14">
        <f t="shared" si="101"/>
        <v>0</v>
      </c>
      <c r="GF29" s="13">
        <f t="shared" si="101"/>
        <v>0</v>
      </c>
      <c r="GG29" s="30">
        <f t="shared" si="101"/>
        <v>0</v>
      </c>
      <c r="GH29" s="14">
        <f>MAX(CZ29:CZ32, CZ37:CZ40)</f>
        <v>0</v>
      </c>
      <c r="GI29" s="226">
        <f>SUM(DA29:DA32, DA37:DA40)</f>
        <v>0</v>
      </c>
      <c r="GL29" s="192">
        <f>SUM(EV29:GI30)</f>
        <v>0</v>
      </c>
    </row>
    <row r="30" spans="2:194" ht="16.8" customHeight="1" thickBot="1" x14ac:dyDescent="0.35">
      <c r="B30" s="8" t="s">
        <v>316</v>
      </c>
      <c r="C30" s="131" t="s">
        <v>204</v>
      </c>
      <c r="D30" s="131" t="s">
        <v>322</v>
      </c>
      <c r="E30" s="131" t="s">
        <v>605</v>
      </c>
      <c r="F30" s="69" t="s">
        <v>5</v>
      </c>
      <c r="G30" s="66" t="s">
        <v>7</v>
      </c>
      <c r="H30" s="78" t="s">
        <v>11</v>
      </c>
      <c r="I30" s="11">
        <f>SUM(BN38:DA38)</f>
        <v>0</v>
      </c>
      <c r="L30" s="131" t="s">
        <v>322</v>
      </c>
      <c r="M30" s="15"/>
      <c r="N30" s="5"/>
      <c r="O30" s="16"/>
      <c r="P30" s="15"/>
      <c r="Q30" s="5"/>
      <c r="R30" s="16"/>
      <c r="S30" s="15"/>
      <c r="T30" s="5"/>
      <c r="U30" s="16"/>
      <c r="V30" s="15"/>
      <c r="W30" s="5"/>
      <c r="X30" s="16"/>
      <c r="Y30" s="15"/>
      <c r="Z30" s="5"/>
      <c r="AA30" s="16"/>
      <c r="AB30" s="15"/>
      <c r="AC30" s="5"/>
      <c r="AD30" s="16"/>
      <c r="AE30" s="15"/>
      <c r="AF30" s="5"/>
      <c r="AG30" s="16"/>
      <c r="AH30" s="15"/>
      <c r="AI30" s="5"/>
      <c r="AJ30" s="16"/>
      <c r="AK30" s="15"/>
      <c r="AL30" s="5"/>
      <c r="AM30" s="16"/>
      <c r="AN30" s="15"/>
      <c r="AO30" s="5"/>
      <c r="AP30" s="16"/>
      <c r="AQ30" s="15"/>
      <c r="AR30" s="5"/>
      <c r="AS30" s="16"/>
      <c r="AT30" s="15"/>
      <c r="AU30" s="5"/>
      <c r="AV30" s="16"/>
      <c r="AW30" s="15"/>
      <c r="AX30" s="5"/>
      <c r="AY30" s="16"/>
      <c r="AZ30" s="11"/>
      <c r="BH30" s="69" t="s">
        <v>593</v>
      </c>
      <c r="BI30" s="66" t="s">
        <v>595</v>
      </c>
      <c r="BJ30" s="78" t="s">
        <v>599</v>
      </c>
      <c r="BM30" s="41" t="s">
        <v>78</v>
      </c>
      <c r="BN30" s="46">
        <f>IF(M24 &lt;&gt; "", VLOOKUP(CONCATENATE("P", M24), pointsSystem, 2, FALSE), 0)</f>
        <v>0</v>
      </c>
      <c r="BO30" s="6">
        <f>IF(N24 &lt;&gt; "", VLOOKUP(CONCATENATE("P", N24), pointsSystem, 3, FALSE), 0)</f>
        <v>0</v>
      </c>
      <c r="BP30" s="47">
        <f>IF(O24 &lt;&gt; "", VLOOKUP(CONCATENATE("P", O24), pointsSystem, 4, FALSE), 0)</f>
        <v>0</v>
      </c>
      <c r="BQ30" s="46">
        <f>IF(P24 &lt;&gt; "", VLOOKUP(CONCATENATE("P", P24), pointsSystem, 2, FALSE), 0)</f>
        <v>0</v>
      </c>
      <c r="BR30" s="6">
        <f>IF(Q24 &lt;&gt; "", VLOOKUP(CONCATENATE("P", Q24), pointsSystem, 3, FALSE), 0)</f>
        <v>0</v>
      </c>
      <c r="BS30" s="47">
        <f>IF(R24 &lt;&gt; "", VLOOKUP(CONCATENATE("P", R24), pointsSystem, 4, FALSE), 0)</f>
        <v>0</v>
      </c>
      <c r="BT30" s="46">
        <f>IF(S24 &lt;&gt; "", VLOOKUP(CONCATENATE("P", S24), pointsSystem, 2, FALSE), 0)</f>
        <v>0</v>
      </c>
      <c r="BU30" s="6">
        <f>IF(T24 &lt;&gt; "", VLOOKUP(CONCATENATE("P", T24), pointsSystem, 3, FALSE), 0)</f>
        <v>0</v>
      </c>
      <c r="BV30" s="47">
        <f>IF(U24 &lt;&gt; "", VLOOKUP(CONCATENATE("P", U24), pointsSystem, 4, FALSE), 0)</f>
        <v>0</v>
      </c>
      <c r="BW30" s="46">
        <f>IF(V24 &lt;&gt; "", VLOOKUP(CONCATENATE("P", V24), pointsSystem, 2, FALSE), 0)</f>
        <v>0</v>
      </c>
      <c r="BX30" s="6">
        <f>IF(W24 &lt;&gt; "", VLOOKUP(CONCATENATE("P", W24), pointsSystem, 3, FALSE), 0)</f>
        <v>0</v>
      </c>
      <c r="BY30" s="47">
        <f>IF(X24 &lt;&gt; "", VLOOKUP(CONCATENATE("P", X24), pointsSystem, 4, FALSE), 0)</f>
        <v>0</v>
      </c>
      <c r="BZ30" s="46">
        <f>IF(Y24 &lt;&gt; "", VLOOKUP(CONCATENATE("P", Y24), pointsSystem, 2, FALSE), 0)</f>
        <v>0</v>
      </c>
      <c r="CA30" s="6">
        <f>IF(Z24 &lt;&gt; "", VLOOKUP(CONCATENATE("P", Z24), pointsSystem, 3, FALSE), 0)</f>
        <v>0</v>
      </c>
      <c r="CB30" s="47">
        <f>IF(AA24 &lt;&gt; "", VLOOKUP(CONCATENATE("P", AA24), pointsSystem, 4, FALSE), 0)</f>
        <v>0</v>
      </c>
      <c r="CC30" s="46">
        <f>IF(AB24 &lt;&gt; "", VLOOKUP(CONCATENATE("P", AB24), pointsSystem, 2, FALSE), 0)</f>
        <v>0</v>
      </c>
      <c r="CD30" s="6">
        <f>IF(AC24 &lt;&gt; "", VLOOKUP(CONCATENATE("P", AC24), pointsSystem, 3, FALSE), 0)</f>
        <v>0</v>
      </c>
      <c r="CE30" s="47">
        <f>IF(AD24 &lt;&gt; "", VLOOKUP(CONCATENATE("P", AD24), pointsSystem, 4, FALSE), 0)</f>
        <v>0</v>
      </c>
      <c r="CF30" s="46">
        <f>IF(AE24 &lt;&gt; "", VLOOKUP(CONCATENATE("P", AE24), pointsSystem, 2, FALSE), 0)</f>
        <v>0</v>
      </c>
      <c r="CG30" s="6">
        <f>IF(AF24 &lt;&gt; "", VLOOKUP(CONCATENATE("P", AF24), pointsSystem, 3, FALSE), 0)</f>
        <v>0</v>
      </c>
      <c r="CH30" s="47">
        <f>IF(AG24 &lt;&gt; "", VLOOKUP(CONCATENATE("P", AG24), pointsSystem, 4, FALSE), 0)</f>
        <v>0</v>
      </c>
      <c r="CI30" s="46">
        <f>IF(AH24 &lt;&gt; "", VLOOKUP(CONCATENATE("P", AH24), pointsSystem, 2, FALSE), 0)</f>
        <v>0</v>
      </c>
      <c r="CJ30" s="6">
        <f>IF(AI24 &lt;&gt; "", VLOOKUP(CONCATENATE("P", AI24), pointsSystem, 3, FALSE), 0)</f>
        <v>0</v>
      </c>
      <c r="CK30" s="47">
        <f>IF(AJ24 &lt;&gt; "", VLOOKUP(CONCATENATE("P", AJ24), pointsSystem, 4, FALSE), 0)</f>
        <v>0</v>
      </c>
      <c r="CL30" s="46">
        <f>IF(AK24 &lt;&gt; "", VLOOKUP(CONCATENATE("P", AK24), pointsSystem, 2, FALSE), 0)</f>
        <v>0</v>
      </c>
      <c r="CM30" s="6">
        <f>IF(AL24 &lt;&gt; "", VLOOKUP(CONCATENATE("P", AL24), pointsSystem, 3, FALSE), 0)</f>
        <v>0</v>
      </c>
      <c r="CN30" s="47">
        <f>IF(AM24 &lt;&gt; "", VLOOKUP(CONCATENATE("P", AM24), pointsSystem, 4, FALSE), 0)</f>
        <v>0</v>
      </c>
      <c r="CO30" s="46">
        <f>IF(AN24 &lt;&gt; "", VLOOKUP(CONCATENATE("P", AN24), pointsSystem, 2, FALSE), 0)</f>
        <v>0</v>
      </c>
      <c r="CP30" s="6">
        <f>IF(AO24 &lt;&gt; "", VLOOKUP(CONCATENATE("P", AO24), pointsSystem, 3, FALSE), 0)</f>
        <v>0</v>
      </c>
      <c r="CQ30" s="47">
        <f>IF(AP24 &lt;&gt; "", VLOOKUP(CONCATENATE("P", AP24), pointsSystem, 4, FALSE), 0)</f>
        <v>0</v>
      </c>
      <c r="CR30" s="46">
        <f>IF(AQ24 &lt;&gt; "", VLOOKUP(CONCATENATE("P", AQ24), pointsSystem, 2, FALSE), 0)</f>
        <v>0</v>
      </c>
      <c r="CS30" s="6">
        <f>IF(AR24 &lt;&gt; "", VLOOKUP(CONCATENATE("P", AR24), pointsSystem, 3, FALSE), 0)</f>
        <v>0</v>
      </c>
      <c r="CT30" s="47">
        <f>IF(AS24 &lt;&gt; "", VLOOKUP(CONCATENATE("P", AS24), pointsSystem, 4, FALSE), 0)</f>
        <v>0</v>
      </c>
      <c r="CU30" s="46">
        <f>IF(AT24 &lt;&gt; "", VLOOKUP(CONCATENATE("P", AT24), pointsSystem, 2, FALSE), 0)</f>
        <v>0</v>
      </c>
      <c r="CV30" s="6">
        <f>IF(AU24 &lt;&gt; "", VLOOKUP(CONCATENATE("P", AU24), pointsSystem, 3, FALSE), 0)</f>
        <v>0</v>
      </c>
      <c r="CW30" s="47">
        <f>IF(AV24 &lt;&gt; "", VLOOKUP(CONCATENATE("P", AV24), pointsSystem, 4, FALSE), 0)</f>
        <v>0</v>
      </c>
      <c r="CX30" s="46">
        <f>IF(AW24 &lt;&gt; "", VLOOKUP(CONCATENATE("P", AW24), pointsSystem, 2, FALSE), 0)</f>
        <v>0</v>
      </c>
      <c r="CY30" s="6">
        <f>IF(AX24 &lt;&gt; "", VLOOKUP(CONCATENATE("P", AX24), pointsSystem, 3, FALSE), 0)</f>
        <v>0</v>
      </c>
      <c r="CZ30" s="47">
        <f>IF(AY24 &lt;&gt; "", VLOOKUP(CONCATENATE("P", AY24), pointsSystem, 4, FALSE), 0)</f>
        <v>0</v>
      </c>
      <c r="DA30" s="48">
        <f>AZ24 * 1</f>
        <v>0</v>
      </c>
      <c r="EU30" s="232"/>
      <c r="EV30" s="17">
        <f>LARGE((BN29:BN32, BN37:BN40), 2)</f>
        <v>0</v>
      </c>
      <c r="EW30" s="31">
        <f>LARGE((BO29:BO32, BO37:BO40), 2)</f>
        <v>0</v>
      </c>
      <c r="EX30" s="18">
        <f>LARGE((BP29:BP32, BP37:BP40), 2)</f>
        <v>0</v>
      </c>
      <c r="EY30" s="17">
        <f>LARGE((BQ29:BQ32, BQ37:BQ40), 2)</f>
        <v>0</v>
      </c>
      <c r="EZ30" s="31">
        <f>LARGE((BR29:BR32, BR37:BR40), 2)</f>
        <v>0</v>
      </c>
      <c r="FA30" s="18">
        <f>LARGE((BS29:BS32, BS37:BS40), 2)</f>
        <v>0</v>
      </c>
      <c r="FB30" s="17">
        <f>LARGE((BT29:BT32, BT37:BT40), 2)</f>
        <v>0</v>
      </c>
      <c r="FC30" s="31">
        <f>LARGE((BU29:BU32, BU37:BU40), 2)</f>
        <v>0</v>
      </c>
      <c r="FD30" s="18">
        <f>LARGE((BV29:BV32, BV37:BV40), 2)</f>
        <v>0</v>
      </c>
      <c r="FE30" s="17">
        <f>LARGE((BW29:BW32, BW37:BW40), 2)</f>
        <v>0</v>
      </c>
      <c r="FF30" s="31">
        <f>LARGE((BX29:BX32, BX37:BX40), 2)</f>
        <v>0</v>
      </c>
      <c r="FG30" s="18">
        <f>LARGE((BY29:BY32, BY37:BY40), 2)</f>
        <v>0</v>
      </c>
      <c r="FH30" s="17">
        <f>LARGE((BZ29:BZ32, BZ37:BZ40), 2)</f>
        <v>0</v>
      </c>
      <c r="FI30" s="31">
        <f>LARGE((CA29:CA32, CA37:CA40), 2)</f>
        <v>0</v>
      </c>
      <c r="FJ30" s="18">
        <f>LARGE((CB29:CB32, CB37:CB40), 2)</f>
        <v>0</v>
      </c>
      <c r="FK30" s="17">
        <f>LARGE((CC29:CC32, CC37:CC40), 2)</f>
        <v>0</v>
      </c>
      <c r="FL30" s="31">
        <f>LARGE((CD29:CD32, CD37:CD40), 2)</f>
        <v>0</v>
      </c>
      <c r="FM30" s="18">
        <f>LARGE((CE29:CE32, CE37:CE40), 2)</f>
        <v>0</v>
      </c>
      <c r="FN30" s="17">
        <f>LARGE((CF29:CF32, CF37:CF40), 2)</f>
        <v>0</v>
      </c>
      <c r="FO30" s="31">
        <f>LARGE((CG29:CG32, CG37:CG40), 2)</f>
        <v>0</v>
      </c>
      <c r="FP30" s="18">
        <f>LARGE((CH29:CH32, CH37:CH40), 2)</f>
        <v>0</v>
      </c>
      <c r="FQ30" s="86">
        <f>LARGE((CI29:CI32, CI37:CI40), 2)</f>
        <v>0</v>
      </c>
      <c r="FR30" s="31">
        <f>LARGE((CJ29:CJ32, CJ37:CJ40), 2)</f>
        <v>0</v>
      </c>
      <c r="FS30" s="50">
        <f>LARGE((CK29:CK32, CK37:CK40), 2)</f>
        <v>0</v>
      </c>
      <c r="FT30" s="17">
        <f>LARGE((CL29:CL32, CL37:CL40), 2)</f>
        <v>0</v>
      </c>
      <c r="FU30" s="31">
        <f>LARGE((CM29:CM32, CM37:CM40), 2)</f>
        <v>0</v>
      </c>
      <c r="FV30" s="18">
        <f>LARGE((CN29:CN32, CN37:CN40), 2)</f>
        <v>0</v>
      </c>
      <c r="FW30" s="17">
        <f>LARGE((CO29:CO32, CO37:CO40), 2)</f>
        <v>0</v>
      </c>
      <c r="FX30" s="31">
        <f>LARGE((CP29:CP32, CP37:CP40), 2)</f>
        <v>0</v>
      </c>
      <c r="FY30" s="18">
        <f>LARGE((CQ29:CQ32, CQ37:CQ40), 2)</f>
        <v>0</v>
      </c>
      <c r="FZ30" s="17">
        <f>LARGE((CR29:CR32, CR37:CR40), 2)</f>
        <v>0</v>
      </c>
      <c r="GA30" s="31">
        <f>LARGE((CS29:CS32, CS37:CS40), 2)</f>
        <v>0</v>
      </c>
      <c r="GB30" s="18">
        <f>LARGE((CT29:CT32, CT37:CT40), 2)</f>
        <v>0</v>
      </c>
      <c r="GC30" s="17">
        <f>LARGE((CU29:CU32, CU37:CU40), 2)</f>
        <v>0</v>
      </c>
      <c r="GD30" s="31">
        <f>LARGE((CV29:CV32, CV37:CV40), 2)</f>
        <v>0</v>
      </c>
      <c r="GE30" s="18">
        <f>LARGE((CW29:CW32, CW37:CW40), 2)</f>
        <v>0</v>
      </c>
      <c r="GF30" s="17">
        <f>LARGE((CX29:CX32, CX37:CX40), 2)</f>
        <v>0</v>
      </c>
      <c r="GG30" s="31">
        <f>LARGE((CY29:CY32, CY37:CY40), 2)</f>
        <v>0</v>
      </c>
      <c r="GH30" s="18">
        <f>LARGE((CZ29:CZ32, CZ37:CZ40), 2)</f>
        <v>0</v>
      </c>
      <c r="GI30" s="227"/>
      <c r="GL30" s="192"/>
    </row>
    <row r="31" spans="2:194" ht="16.8" customHeight="1" thickBot="1" x14ac:dyDescent="0.35">
      <c r="B31" s="8" t="s">
        <v>317</v>
      </c>
      <c r="C31" s="131" t="s">
        <v>252</v>
      </c>
      <c r="D31" s="131" t="s">
        <v>323</v>
      </c>
      <c r="E31" s="131" t="s">
        <v>605</v>
      </c>
      <c r="F31" s="69" t="s">
        <v>5</v>
      </c>
      <c r="G31" s="66" t="s">
        <v>7</v>
      </c>
      <c r="H31" s="78" t="s">
        <v>11</v>
      </c>
      <c r="I31" s="11">
        <f>SUM(BN39:DA39)</f>
        <v>0</v>
      </c>
      <c r="L31" s="131" t="s">
        <v>323</v>
      </c>
      <c r="M31" s="15"/>
      <c r="N31" s="5"/>
      <c r="O31" s="16"/>
      <c r="P31" s="15"/>
      <c r="Q31" s="5"/>
      <c r="R31" s="16"/>
      <c r="S31" s="15"/>
      <c r="T31" s="5"/>
      <c r="U31" s="16"/>
      <c r="V31" s="15"/>
      <c r="W31" s="5"/>
      <c r="X31" s="16"/>
      <c r="Y31" s="15"/>
      <c r="Z31" s="5"/>
      <c r="AA31" s="16"/>
      <c r="AB31" s="15"/>
      <c r="AC31" s="5"/>
      <c r="AD31" s="16"/>
      <c r="AE31" s="15"/>
      <c r="AF31" s="5"/>
      <c r="AG31" s="16"/>
      <c r="AH31" s="15"/>
      <c r="AI31" s="5"/>
      <c r="AJ31" s="16"/>
      <c r="AK31" s="15"/>
      <c r="AL31" s="5"/>
      <c r="AM31" s="16"/>
      <c r="AN31" s="15"/>
      <c r="AO31" s="5"/>
      <c r="AP31" s="16"/>
      <c r="AQ31" s="15"/>
      <c r="AR31" s="5"/>
      <c r="AS31" s="16"/>
      <c r="AT31" s="15"/>
      <c r="AU31" s="5"/>
      <c r="AV31" s="16"/>
      <c r="AW31" s="15"/>
      <c r="AX31" s="5"/>
      <c r="AY31" s="16"/>
      <c r="AZ31" s="11"/>
      <c r="BC31" s="10">
        <f>MAX(I4:I28) - LARGE(I4:I28, 2)</f>
        <v>0</v>
      </c>
      <c r="BD31" s="180" t="s">
        <v>409</v>
      </c>
      <c r="BE31" s="182"/>
      <c r="BH31" s="69" t="s">
        <v>593</v>
      </c>
      <c r="BI31" s="66" t="s">
        <v>595</v>
      </c>
      <c r="BJ31" s="78" t="s">
        <v>599</v>
      </c>
      <c r="BM31" s="41" t="s">
        <v>79</v>
      </c>
      <c r="BN31" s="46">
        <f>IF(M25 &lt;&gt; "", VLOOKUP(CONCATENATE("P", M25), pointsSystem, 2, FALSE), 0)</f>
        <v>0</v>
      </c>
      <c r="BO31" s="6">
        <f>IF(N25 &lt;&gt; "", VLOOKUP(CONCATENATE("P", N25), pointsSystem, 3, FALSE), 0)</f>
        <v>0</v>
      </c>
      <c r="BP31" s="47">
        <f>IF(O25 &lt;&gt; "", VLOOKUP(CONCATENATE("P", O25), pointsSystem, 4, FALSE), 0)</f>
        <v>0</v>
      </c>
      <c r="BQ31" s="46">
        <f>IF(P25 &lt;&gt; "", VLOOKUP(CONCATENATE("P", P25), pointsSystem, 2, FALSE), 0)</f>
        <v>0</v>
      </c>
      <c r="BR31" s="6">
        <f>IF(Q25 &lt;&gt; "", VLOOKUP(CONCATENATE("P", Q25), pointsSystem, 3, FALSE), 0)</f>
        <v>0</v>
      </c>
      <c r="BS31" s="47">
        <f>IF(R25 &lt;&gt; "", VLOOKUP(CONCATENATE("P", R25), pointsSystem, 4, FALSE), 0)</f>
        <v>0</v>
      </c>
      <c r="BT31" s="46">
        <f>IF(S25 &lt;&gt; "", VLOOKUP(CONCATENATE("P", S25), pointsSystem, 2, FALSE), 0)</f>
        <v>0</v>
      </c>
      <c r="BU31" s="6">
        <f>IF(T25 &lt;&gt; "", VLOOKUP(CONCATENATE("P", T25), pointsSystem, 3, FALSE), 0)</f>
        <v>0</v>
      </c>
      <c r="BV31" s="47">
        <f>IF(U25 &lt;&gt; "", VLOOKUP(CONCATENATE("P", U25), pointsSystem, 4, FALSE), 0)</f>
        <v>0</v>
      </c>
      <c r="BW31" s="46">
        <f>IF(V25 &lt;&gt; "", VLOOKUP(CONCATENATE("P", V25), pointsSystem, 2, FALSE), 0)</f>
        <v>0</v>
      </c>
      <c r="BX31" s="6">
        <f>IF(W25 &lt;&gt; "", VLOOKUP(CONCATENATE("P", W25), pointsSystem, 3, FALSE), 0)</f>
        <v>0</v>
      </c>
      <c r="BY31" s="47">
        <f>IF(X25 &lt;&gt; "", VLOOKUP(CONCATENATE("P", X25), pointsSystem, 4, FALSE), 0)</f>
        <v>0</v>
      </c>
      <c r="BZ31" s="46">
        <f>IF(Y25 &lt;&gt; "", VLOOKUP(CONCATENATE("P", Y25), pointsSystem, 2, FALSE), 0)</f>
        <v>0</v>
      </c>
      <c r="CA31" s="6">
        <f>IF(Z25 &lt;&gt; "", VLOOKUP(CONCATENATE("P", Z25), pointsSystem, 3, FALSE), 0)</f>
        <v>0</v>
      </c>
      <c r="CB31" s="47">
        <f>IF(AA25 &lt;&gt; "", VLOOKUP(CONCATENATE("P", AA25), pointsSystem, 4, FALSE), 0)</f>
        <v>0</v>
      </c>
      <c r="CC31" s="46">
        <f>IF(AB25 &lt;&gt; "", VLOOKUP(CONCATENATE("P", AB25), pointsSystem, 2, FALSE), 0)</f>
        <v>0</v>
      </c>
      <c r="CD31" s="6">
        <f>IF(AC25 &lt;&gt; "", VLOOKUP(CONCATENATE("P", AC25), pointsSystem, 3, FALSE), 0)</f>
        <v>0</v>
      </c>
      <c r="CE31" s="47">
        <f>IF(AD25 &lt;&gt; "", VLOOKUP(CONCATENATE("P", AD25), pointsSystem, 4, FALSE), 0)</f>
        <v>0</v>
      </c>
      <c r="CF31" s="46">
        <f>IF(AE25 &lt;&gt; "", VLOOKUP(CONCATENATE("P", AE25), pointsSystem, 2, FALSE), 0)</f>
        <v>0</v>
      </c>
      <c r="CG31" s="6">
        <f>IF(AF25 &lt;&gt; "", VLOOKUP(CONCATENATE("P", AF25), pointsSystem, 3, FALSE), 0)</f>
        <v>0</v>
      </c>
      <c r="CH31" s="47">
        <f>IF(AG25 &lt;&gt; "", VLOOKUP(CONCATENATE("P", AG25), pointsSystem, 4, FALSE), 0)</f>
        <v>0</v>
      </c>
      <c r="CI31" s="46">
        <f>IF(AH25 &lt;&gt; "", VLOOKUP(CONCATENATE("P", AH25), pointsSystem, 2, FALSE), 0)</f>
        <v>0</v>
      </c>
      <c r="CJ31" s="6">
        <f>IF(AI25 &lt;&gt; "", VLOOKUP(CONCATENATE("P", AI25), pointsSystem, 3, FALSE), 0)</f>
        <v>0</v>
      </c>
      <c r="CK31" s="47">
        <f>IF(AJ25 &lt;&gt; "", VLOOKUP(CONCATENATE("P", AJ25), pointsSystem, 4, FALSE), 0)</f>
        <v>0</v>
      </c>
      <c r="CL31" s="46">
        <f>IF(AK25 &lt;&gt; "", VLOOKUP(CONCATENATE("P", AK25), pointsSystem, 2, FALSE), 0)</f>
        <v>0</v>
      </c>
      <c r="CM31" s="6">
        <f>IF(AL25 &lt;&gt; "", VLOOKUP(CONCATENATE("P", AL25), pointsSystem, 3, FALSE), 0)</f>
        <v>0</v>
      </c>
      <c r="CN31" s="47">
        <f>IF(AM25 &lt;&gt; "", VLOOKUP(CONCATENATE("P", AM25), pointsSystem, 4, FALSE), 0)</f>
        <v>0</v>
      </c>
      <c r="CO31" s="46">
        <f>IF(AN25 &lt;&gt; "", VLOOKUP(CONCATENATE("P", AN25), pointsSystem, 2, FALSE), 0)</f>
        <v>0</v>
      </c>
      <c r="CP31" s="6">
        <f>IF(AO25 &lt;&gt; "", VLOOKUP(CONCATENATE("P", AO25), pointsSystem, 3, FALSE), 0)</f>
        <v>0</v>
      </c>
      <c r="CQ31" s="47">
        <f>IF(AP25 &lt;&gt; "", VLOOKUP(CONCATENATE("P", AP25), pointsSystem, 4, FALSE), 0)</f>
        <v>0</v>
      </c>
      <c r="CR31" s="46">
        <f>IF(AQ25 &lt;&gt; "", VLOOKUP(CONCATENATE("P", AQ25), pointsSystem, 2, FALSE), 0)</f>
        <v>0</v>
      </c>
      <c r="CS31" s="6">
        <f>IF(AR25 &lt;&gt; "", VLOOKUP(CONCATENATE("P", AR25), pointsSystem, 3, FALSE), 0)</f>
        <v>0</v>
      </c>
      <c r="CT31" s="47">
        <f>IF(AS25 &lt;&gt; "", VLOOKUP(CONCATENATE("P", AS25), pointsSystem, 4, FALSE), 0)</f>
        <v>0</v>
      </c>
      <c r="CU31" s="46">
        <f>IF(AT25 &lt;&gt; "", VLOOKUP(CONCATENATE("P", AT25), pointsSystem, 2, FALSE), 0)</f>
        <v>0</v>
      </c>
      <c r="CV31" s="6">
        <f>IF(AU25 &lt;&gt; "", VLOOKUP(CONCATENATE("P", AU25), pointsSystem, 3, FALSE), 0)</f>
        <v>0</v>
      </c>
      <c r="CW31" s="47">
        <f>IF(AV25 &lt;&gt; "", VLOOKUP(CONCATENATE("P", AV25), pointsSystem, 4, FALSE), 0)</f>
        <v>0</v>
      </c>
      <c r="CX31" s="46">
        <f>IF(AW25 &lt;&gt; "", VLOOKUP(CONCATENATE("P", AW25), pointsSystem, 2, FALSE), 0)</f>
        <v>0</v>
      </c>
      <c r="CY31" s="6">
        <f>IF(AX25 &lt;&gt; "", VLOOKUP(CONCATENATE("P", AX25), pointsSystem, 3, FALSE), 0)</f>
        <v>0</v>
      </c>
      <c r="CZ31" s="47">
        <f>IF(AY25 &lt;&gt; "", VLOOKUP(CONCATENATE("P", AY25), pointsSystem, 4, FALSE), 0)</f>
        <v>0</v>
      </c>
      <c r="DA31" s="48">
        <f>AZ25 * 1</f>
        <v>0</v>
      </c>
      <c r="EU31" s="225" t="s">
        <v>13</v>
      </c>
      <c r="EV31" s="13">
        <f>MAX(BN13:BN16, BN41:BN44)</f>
        <v>0</v>
      </c>
      <c r="EW31" s="30">
        <f t="shared" ref="EW31:GG31" si="102">MAX(BO13:BO16, BO41:BO44)</f>
        <v>0</v>
      </c>
      <c r="EX31" s="14">
        <f t="shared" si="102"/>
        <v>0</v>
      </c>
      <c r="EY31" s="13">
        <f t="shared" si="102"/>
        <v>0</v>
      </c>
      <c r="EZ31" s="30">
        <f t="shared" si="102"/>
        <v>0</v>
      </c>
      <c r="FA31" s="14">
        <f t="shared" si="102"/>
        <v>0</v>
      </c>
      <c r="FB31" s="13">
        <f t="shared" si="102"/>
        <v>0</v>
      </c>
      <c r="FC31" s="30">
        <f t="shared" si="102"/>
        <v>0</v>
      </c>
      <c r="FD31" s="14">
        <f t="shared" si="102"/>
        <v>0</v>
      </c>
      <c r="FE31" s="13">
        <f t="shared" si="102"/>
        <v>0</v>
      </c>
      <c r="FF31" s="30">
        <f t="shared" si="102"/>
        <v>0</v>
      </c>
      <c r="FG31" s="14">
        <f t="shared" si="102"/>
        <v>0</v>
      </c>
      <c r="FH31" s="13">
        <f t="shared" si="102"/>
        <v>0</v>
      </c>
      <c r="FI31" s="30">
        <f t="shared" si="102"/>
        <v>0</v>
      </c>
      <c r="FJ31" s="14">
        <f t="shared" si="102"/>
        <v>0</v>
      </c>
      <c r="FK31" s="13">
        <f t="shared" si="102"/>
        <v>0</v>
      </c>
      <c r="FL31" s="30">
        <f t="shared" si="102"/>
        <v>0</v>
      </c>
      <c r="FM31" s="14">
        <f t="shared" si="102"/>
        <v>0</v>
      </c>
      <c r="FN31" s="13">
        <f t="shared" si="102"/>
        <v>0</v>
      </c>
      <c r="FO31" s="30">
        <f t="shared" si="102"/>
        <v>0</v>
      </c>
      <c r="FP31" s="14">
        <f t="shared" si="102"/>
        <v>0</v>
      </c>
      <c r="FQ31" s="85">
        <f t="shared" si="102"/>
        <v>0</v>
      </c>
      <c r="FR31" s="30">
        <f t="shared" si="102"/>
        <v>0</v>
      </c>
      <c r="FS31" s="49">
        <f t="shared" si="102"/>
        <v>0</v>
      </c>
      <c r="FT31" s="13">
        <f t="shared" si="102"/>
        <v>0</v>
      </c>
      <c r="FU31" s="30">
        <f t="shared" si="102"/>
        <v>0</v>
      </c>
      <c r="FV31" s="14">
        <f t="shared" si="102"/>
        <v>0</v>
      </c>
      <c r="FW31" s="13">
        <f t="shared" si="102"/>
        <v>0</v>
      </c>
      <c r="FX31" s="30">
        <f t="shared" si="102"/>
        <v>0</v>
      </c>
      <c r="FY31" s="14">
        <f t="shared" si="102"/>
        <v>0</v>
      </c>
      <c r="FZ31" s="13">
        <f t="shared" si="102"/>
        <v>0</v>
      </c>
      <c r="GA31" s="30">
        <f t="shared" si="102"/>
        <v>0</v>
      </c>
      <c r="GB31" s="14">
        <f t="shared" si="102"/>
        <v>0</v>
      </c>
      <c r="GC31" s="13">
        <f t="shared" si="102"/>
        <v>0</v>
      </c>
      <c r="GD31" s="30">
        <f t="shared" si="102"/>
        <v>0</v>
      </c>
      <c r="GE31" s="14">
        <f t="shared" si="102"/>
        <v>0</v>
      </c>
      <c r="GF31" s="13">
        <f t="shared" si="102"/>
        <v>0</v>
      </c>
      <c r="GG31" s="30">
        <f t="shared" si="102"/>
        <v>0</v>
      </c>
      <c r="GH31" s="14">
        <f>MAX(CZ13:CZ16, CZ41:CZ44)</f>
        <v>0</v>
      </c>
      <c r="GI31" s="226">
        <f>SUM(DA13:DA16, DA41:DA44)</f>
        <v>0</v>
      </c>
      <c r="GL31" s="192">
        <f>SUM(EV31:GI32)</f>
        <v>0</v>
      </c>
    </row>
    <row r="32" spans="2:194" ht="16.8" customHeight="1" thickBot="1" x14ac:dyDescent="0.35">
      <c r="B32" s="8" t="s">
        <v>318</v>
      </c>
      <c r="C32" s="139" t="s">
        <v>193</v>
      </c>
      <c r="D32" s="139" t="s">
        <v>431</v>
      </c>
      <c r="E32" s="139" t="s">
        <v>607</v>
      </c>
      <c r="F32" s="72" t="s">
        <v>439</v>
      </c>
      <c r="G32" s="76" t="s">
        <v>10</v>
      </c>
      <c r="H32" s="67" t="s">
        <v>13</v>
      </c>
      <c r="I32" s="11">
        <f>SUM(BN41:DA41)</f>
        <v>0</v>
      </c>
      <c r="L32" s="139" t="s">
        <v>431</v>
      </c>
      <c r="M32" s="15"/>
      <c r="N32" s="5"/>
      <c r="O32" s="16"/>
      <c r="P32" s="15"/>
      <c r="Q32" s="5"/>
      <c r="R32" s="16"/>
      <c r="S32" s="15"/>
      <c r="T32" s="5"/>
      <c r="U32" s="16"/>
      <c r="V32" s="15"/>
      <c r="W32" s="5"/>
      <c r="X32" s="16"/>
      <c r="Y32" s="15"/>
      <c r="Z32" s="5"/>
      <c r="AA32" s="16"/>
      <c r="AB32" s="15"/>
      <c r="AC32" s="5"/>
      <c r="AD32" s="16"/>
      <c r="AE32" s="15"/>
      <c r="AF32" s="5"/>
      <c r="AG32" s="16"/>
      <c r="AH32" s="15"/>
      <c r="AI32" s="5"/>
      <c r="AJ32" s="16"/>
      <c r="AK32" s="15"/>
      <c r="AL32" s="5"/>
      <c r="AM32" s="16"/>
      <c r="AN32" s="15"/>
      <c r="AO32" s="5"/>
      <c r="AP32" s="16"/>
      <c r="AQ32" s="15"/>
      <c r="AR32" s="5"/>
      <c r="AS32" s="16"/>
      <c r="AT32" s="15"/>
      <c r="AU32" s="5"/>
      <c r="AV32" s="16"/>
      <c r="AW32" s="15"/>
      <c r="AX32" s="5"/>
      <c r="AY32" s="16"/>
      <c r="AZ32" s="11"/>
      <c r="BC32" s="12">
        <f>MAX(BE4:BE14) - LARGE(BE4:BE14, 2)</f>
        <v>0</v>
      </c>
      <c r="BD32" s="171" t="s">
        <v>410</v>
      </c>
      <c r="BE32" s="173"/>
      <c r="BH32" s="69" t="s">
        <v>593</v>
      </c>
      <c r="BI32" s="66" t="s">
        <v>595</v>
      </c>
      <c r="BJ32" s="78" t="s">
        <v>599</v>
      </c>
      <c r="BM32" s="41" t="s">
        <v>340</v>
      </c>
      <c r="BN32" s="46">
        <f>IF(M43 &lt;&gt; "", VLOOKUP(CONCATENATE("P", M43), pointsSystem, 2, FALSE), 0)</f>
        <v>0</v>
      </c>
      <c r="BO32" s="6">
        <f>IF(N43 &lt;&gt; "", VLOOKUP(CONCATENATE("P", N43), pointsSystem, 3, FALSE), 0)</f>
        <v>0</v>
      </c>
      <c r="BP32" s="47">
        <f>IF(O43 &lt;&gt; "", VLOOKUP(CONCATENATE("P", O43), pointsSystem, 4, FALSE), 0)</f>
        <v>0</v>
      </c>
      <c r="BQ32" s="46">
        <f>IF(P43 &lt;&gt; "", VLOOKUP(CONCATENATE("P", P43), pointsSystem, 2, FALSE), 0)</f>
        <v>0</v>
      </c>
      <c r="BR32" s="6">
        <f>IF(Q43 &lt;&gt; "", VLOOKUP(CONCATENATE("P", Q43), pointsSystem, 3, FALSE), 0)</f>
        <v>0</v>
      </c>
      <c r="BS32" s="47">
        <f>IF(R43 &lt;&gt; "", VLOOKUP(CONCATENATE("P", R43), pointsSystem, 4, FALSE), 0)</f>
        <v>0</v>
      </c>
      <c r="BT32" s="46">
        <f>IF(S43 &lt;&gt; "", VLOOKUP(CONCATENATE("P", S43), pointsSystem, 2, FALSE), 0)</f>
        <v>0</v>
      </c>
      <c r="BU32" s="6">
        <f>IF(T43 &lt;&gt; "", VLOOKUP(CONCATENATE("P", T43), pointsSystem, 3, FALSE), 0)</f>
        <v>0</v>
      </c>
      <c r="BV32" s="47">
        <f>IF(U43 &lt;&gt; "", VLOOKUP(CONCATENATE("P", U43), pointsSystem, 4, FALSE), 0)</f>
        <v>0</v>
      </c>
      <c r="BW32" s="46">
        <f>IF(V43 &lt;&gt; "", VLOOKUP(CONCATENATE("P", V43), pointsSystem, 2, FALSE), 0)</f>
        <v>0</v>
      </c>
      <c r="BX32" s="6">
        <f>IF(W43 &lt;&gt; "", VLOOKUP(CONCATENATE("P", W43), pointsSystem, 3, FALSE), 0)</f>
        <v>0</v>
      </c>
      <c r="BY32" s="47">
        <f>IF(X43 &lt;&gt; "", VLOOKUP(CONCATENATE("P", X43), pointsSystem, 4, FALSE), 0)</f>
        <v>0</v>
      </c>
      <c r="BZ32" s="46">
        <f>IF(Y43 &lt;&gt; "", VLOOKUP(CONCATENATE("P", Y43), pointsSystem, 2, FALSE), 0)</f>
        <v>0</v>
      </c>
      <c r="CA32" s="6">
        <f>IF(Z43 &lt;&gt; "", VLOOKUP(CONCATENATE("P", Z43), pointsSystem, 3, FALSE), 0)</f>
        <v>0</v>
      </c>
      <c r="CB32" s="47">
        <f>IF(AA43 &lt;&gt; "", VLOOKUP(CONCATENATE("P", AA43), pointsSystem, 4, FALSE), 0)</f>
        <v>0</v>
      </c>
      <c r="CC32" s="46">
        <f>IF(AB43 &lt;&gt; "", VLOOKUP(CONCATENATE("P", AB43), pointsSystem, 2, FALSE), 0)</f>
        <v>0</v>
      </c>
      <c r="CD32" s="6">
        <f>IF(AC43 &lt;&gt; "", VLOOKUP(CONCATENATE("P", AC43), pointsSystem, 3, FALSE), 0)</f>
        <v>0</v>
      </c>
      <c r="CE32" s="47">
        <f>IF(AD43 &lt;&gt; "", VLOOKUP(CONCATENATE("P", AD43), pointsSystem, 4, FALSE), 0)</f>
        <v>0</v>
      </c>
      <c r="CF32" s="46">
        <f>IF(AE43 &lt;&gt; "", VLOOKUP(CONCATENATE("P", AE43), pointsSystem, 2, FALSE), 0)</f>
        <v>0</v>
      </c>
      <c r="CG32" s="6">
        <f>IF(AF43 &lt;&gt; "", VLOOKUP(CONCATENATE("P", AF43), pointsSystem, 3, FALSE), 0)</f>
        <v>0</v>
      </c>
      <c r="CH32" s="47">
        <f>IF(AG43 &lt;&gt; "", VLOOKUP(CONCATENATE("P", AG43), pointsSystem, 4, FALSE), 0)</f>
        <v>0</v>
      </c>
      <c r="CI32" s="46">
        <f>IF(AH43 &lt;&gt; "", VLOOKUP(CONCATENATE("P", AH43), pointsSystem, 2, FALSE), 0)</f>
        <v>0</v>
      </c>
      <c r="CJ32" s="6">
        <f>IF(AI43 &lt;&gt; "", VLOOKUP(CONCATENATE("P", AI43), pointsSystem, 3, FALSE), 0)</f>
        <v>0</v>
      </c>
      <c r="CK32" s="47">
        <f>IF(AJ43 &lt;&gt; "", VLOOKUP(CONCATENATE("P", AJ43), pointsSystem, 4, FALSE), 0)</f>
        <v>0</v>
      </c>
      <c r="CL32" s="46">
        <f>IF(AK43 &lt;&gt; "", VLOOKUP(CONCATENATE("P", AK43), pointsSystem, 2, FALSE), 0)</f>
        <v>0</v>
      </c>
      <c r="CM32" s="6">
        <f>IF(AL43 &lt;&gt; "", VLOOKUP(CONCATENATE("P", AL43), pointsSystem, 3, FALSE), 0)</f>
        <v>0</v>
      </c>
      <c r="CN32" s="47">
        <f>IF(AM43 &lt;&gt; "", VLOOKUP(CONCATENATE("P", AM43), pointsSystem, 4, FALSE), 0)</f>
        <v>0</v>
      </c>
      <c r="CO32" s="46">
        <f>IF(AN43 &lt;&gt; "", VLOOKUP(CONCATENATE("P", AN43), pointsSystem, 2, FALSE), 0)</f>
        <v>0</v>
      </c>
      <c r="CP32" s="6">
        <f>IF(AO43 &lt;&gt; "", VLOOKUP(CONCATENATE("P", AO43), pointsSystem, 3, FALSE), 0)</f>
        <v>0</v>
      </c>
      <c r="CQ32" s="47">
        <f>IF(AP43 &lt;&gt; "", VLOOKUP(CONCATENATE("P", AP43), pointsSystem, 4, FALSE), 0)</f>
        <v>0</v>
      </c>
      <c r="CR32" s="46">
        <f>IF(AQ43 &lt;&gt; "", VLOOKUP(CONCATENATE("P", AQ43), pointsSystem, 2, FALSE), 0)</f>
        <v>0</v>
      </c>
      <c r="CS32" s="6">
        <f>IF(AR43 &lt;&gt; "", VLOOKUP(CONCATENATE("P", AR43), pointsSystem, 3, FALSE), 0)</f>
        <v>0</v>
      </c>
      <c r="CT32" s="47">
        <f>IF(AS43 &lt;&gt; "", VLOOKUP(CONCATENATE("P", AS43), pointsSystem, 4, FALSE), 0)</f>
        <v>0</v>
      </c>
      <c r="CU32" s="46">
        <f>IF(AT43 &lt;&gt; "", VLOOKUP(CONCATENATE("P", AT43), pointsSystem, 2, FALSE), 0)</f>
        <v>0</v>
      </c>
      <c r="CV32" s="6">
        <f>IF(AU43 &lt;&gt; "", VLOOKUP(CONCATENATE("P", AU43), pointsSystem, 3, FALSE), 0)</f>
        <v>0</v>
      </c>
      <c r="CW32" s="47">
        <f>IF(AV43 &lt;&gt; "", VLOOKUP(CONCATENATE("P", AV43), pointsSystem, 4, FALSE), 0)</f>
        <v>0</v>
      </c>
      <c r="CX32" s="46">
        <f>IF(AW43 &lt;&gt; "", VLOOKUP(CONCATENATE("P", AW43), pointsSystem, 2, FALSE), 0)</f>
        <v>0</v>
      </c>
      <c r="CY32" s="6">
        <f>IF(AX43 &lt;&gt; "", VLOOKUP(CONCATENATE("P", AX43), pointsSystem, 3, FALSE), 0)</f>
        <v>0</v>
      </c>
      <c r="CZ32" s="47">
        <f>IF(AY43 &lt;&gt; "", VLOOKUP(CONCATENATE("P", AY43), pointsSystem, 4, FALSE), 0)</f>
        <v>0</v>
      </c>
      <c r="DA32" s="48">
        <f>AZ43 * 1</f>
        <v>0</v>
      </c>
      <c r="EU32" s="225"/>
      <c r="EV32" s="17">
        <f>LARGE((BN13:BN16, BN41:BN44), 2)</f>
        <v>0</v>
      </c>
      <c r="EW32" s="31">
        <f>LARGE((BO13:BO16, BO41:BO44), 2)</f>
        <v>0</v>
      </c>
      <c r="EX32" s="18">
        <f>LARGE((BP13:BP16, BP41:BP44), 2)</f>
        <v>0</v>
      </c>
      <c r="EY32" s="17">
        <f>LARGE((BQ13:BQ16, BQ41:BQ44), 2)</f>
        <v>0</v>
      </c>
      <c r="EZ32" s="31">
        <f>LARGE((BR13:BR16, BR41:BR44), 2)</f>
        <v>0</v>
      </c>
      <c r="FA32" s="18">
        <f>LARGE((BS13:BS16, BS41:BS44), 2)</f>
        <v>0</v>
      </c>
      <c r="FB32" s="17">
        <f>LARGE((BT13:BT16, BT41:BT44), 2)</f>
        <v>0</v>
      </c>
      <c r="FC32" s="31">
        <f>LARGE((BU13:BU16, BU41:BU44), 2)</f>
        <v>0</v>
      </c>
      <c r="FD32" s="18">
        <f>LARGE((BV13:BV16, BV41:BV44), 2)</f>
        <v>0</v>
      </c>
      <c r="FE32" s="17">
        <f>LARGE((BW13:BW16, BW41:BW44), 2)</f>
        <v>0</v>
      </c>
      <c r="FF32" s="31">
        <f>LARGE((BX13:BX16, BX41:BX44), 2)</f>
        <v>0</v>
      </c>
      <c r="FG32" s="18">
        <f>LARGE((BY13:BY16, BY41:BY44), 2)</f>
        <v>0</v>
      </c>
      <c r="FH32" s="17">
        <f>LARGE((BZ13:BZ16, BZ41:BZ44), 2)</f>
        <v>0</v>
      </c>
      <c r="FI32" s="31">
        <f>LARGE((CA13:CA16, CA41:CA44), 2)</f>
        <v>0</v>
      </c>
      <c r="FJ32" s="18">
        <f>LARGE((CB13:CB16, CB41:CB44), 2)</f>
        <v>0</v>
      </c>
      <c r="FK32" s="17">
        <f>LARGE((CC13:CC16, CC41:CC44), 2)</f>
        <v>0</v>
      </c>
      <c r="FL32" s="31">
        <f>LARGE((CD13:CD16, CD41:CD44), 2)</f>
        <v>0</v>
      </c>
      <c r="FM32" s="18">
        <f>LARGE((CE13:CE16, CE41:CE44), 2)</f>
        <v>0</v>
      </c>
      <c r="FN32" s="17">
        <f>LARGE((CF13:CF16, CF41:CF44), 2)</f>
        <v>0</v>
      </c>
      <c r="FO32" s="31">
        <f>LARGE((CG13:CG16, CG41:CG44), 2)</f>
        <v>0</v>
      </c>
      <c r="FP32" s="18">
        <f>LARGE((CH13:CH16, CH41:CH44), 2)</f>
        <v>0</v>
      </c>
      <c r="FQ32" s="86">
        <f>LARGE((CI13:CI16, CI41:CI44), 2)</f>
        <v>0</v>
      </c>
      <c r="FR32" s="31">
        <f>LARGE((CJ13:CJ16, CJ41:CJ44), 2)</f>
        <v>0</v>
      </c>
      <c r="FS32" s="50">
        <f>LARGE((CK13:CK16, CK41:CK44), 2)</f>
        <v>0</v>
      </c>
      <c r="FT32" s="17">
        <f>LARGE((CL13:CL16, CL41:CL44), 2)</f>
        <v>0</v>
      </c>
      <c r="FU32" s="31">
        <f>LARGE((CM13:CM16, CM41:CM44), 2)</f>
        <v>0</v>
      </c>
      <c r="FV32" s="18">
        <f>LARGE((CN13:CN16, CN41:CN44), 2)</f>
        <v>0</v>
      </c>
      <c r="FW32" s="17">
        <f>LARGE((CO13:CO16, CO41:CO44), 2)</f>
        <v>0</v>
      </c>
      <c r="FX32" s="31">
        <f>LARGE((CP13:CP16, CP41:CP44), 2)</f>
        <v>0</v>
      </c>
      <c r="FY32" s="18">
        <f>LARGE((CQ13:CQ16, CQ41:CQ44), 2)</f>
        <v>0</v>
      </c>
      <c r="FZ32" s="17">
        <f>LARGE((CR13:CR16, CR41:CR44), 2)</f>
        <v>0</v>
      </c>
      <c r="GA32" s="31">
        <f>LARGE((CS13:CS16, CS41:CS44), 2)</f>
        <v>0</v>
      </c>
      <c r="GB32" s="18">
        <f>LARGE((CT13:CT16, CT41:CT44), 2)</f>
        <v>0</v>
      </c>
      <c r="GC32" s="17">
        <f>LARGE((CU13:CU16, CU41:CU44), 2)</f>
        <v>0</v>
      </c>
      <c r="GD32" s="31">
        <f>LARGE((CV13:CV16, CV41:CV44), 2)</f>
        <v>0</v>
      </c>
      <c r="GE32" s="18">
        <f>LARGE((CW13:CW16, CW41:CW44), 2)</f>
        <v>0</v>
      </c>
      <c r="GF32" s="17">
        <f>LARGE((CX13:CX16, CX41:CX44), 2)</f>
        <v>0</v>
      </c>
      <c r="GG32" s="31">
        <f>LARGE((CY13:CY16, CY41:CY44), 2)</f>
        <v>0</v>
      </c>
      <c r="GH32" s="18">
        <f>LARGE((CZ13:CZ16, CZ41:CZ44), 2)</f>
        <v>0</v>
      </c>
      <c r="GI32" s="227"/>
      <c r="GL32" s="192"/>
    </row>
    <row r="33" spans="2:194" ht="16.8" customHeight="1" thickBot="1" x14ac:dyDescent="0.35">
      <c r="B33" s="8" t="s">
        <v>319</v>
      </c>
      <c r="C33" s="139" t="s">
        <v>233</v>
      </c>
      <c r="D33" s="139" t="s">
        <v>432</v>
      </c>
      <c r="E33" s="139" t="s">
        <v>607</v>
      </c>
      <c r="F33" s="72" t="s">
        <v>439</v>
      </c>
      <c r="G33" s="76" t="s">
        <v>10</v>
      </c>
      <c r="H33" s="67" t="s">
        <v>13</v>
      </c>
      <c r="I33" s="11">
        <f>SUM(BN42:DA42)</f>
        <v>0</v>
      </c>
      <c r="L33" s="139" t="s">
        <v>432</v>
      </c>
      <c r="M33" s="15"/>
      <c r="N33" s="5"/>
      <c r="O33" s="16"/>
      <c r="P33" s="15"/>
      <c r="Q33" s="5"/>
      <c r="R33" s="16"/>
      <c r="S33" s="15"/>
      <c r="T33" s="5"/>
      <c r="U33" s="16"/>
      <c r="V33" s="15"/>
      <c r="W33" s="5"/>
      <c r="X33" s="16"/>
      <c r="Y33" s="15"/>
      <c r="Z33" s="5"/>
      <c r="AA33" s="16"/>
      <c r="AB33" s="15"/>
      <c r="AC33" s="5"/>
      <c r="AD33" s="16"/>
      <c r="AE33" s="15"/>
      <c r="AF33" s="5"/>
      <c r="AG33" s="16"/>
      <c r="AH33" s="15"/>
      <c r="AI33" s="5"/>
      <c r="AJ33" s="16"/>
      <c r="AK33" s="15"/>
      <c r="AL33" s="5"/>
      <c r="AM33" s="16"/>
      <c r="AN33" s="15"/>
      <c r="AO33" s="5"/>
      <c r="AP33" s="16"/>
      <c r="AQ33" s="15"/>
      <c r="AR33" s="5"/>
      <c r="AS33" s="16"/>
      <c r="AT33" s="15"/>
      <c r="AU33" s="5"/>
      <c r="AV33" s="16"/>
      <c r="AW33" s="15"/>
      <c r="AX33" s="5"/>
      <c r="AY33" s="16"/>
      <c r="AZ33" s="11"/>
      <c r="BC33" s="10">
        <f>MAX(I4:I28) - (BC37 * BC39)</f>
        <v>-663</v>
      </c>
      <c r="BD33" s="180" t="s">
        <v>408</v>
      </c>
      <c r="BE33" s="182"/>
      <c r="BH33" s="70" t="s">
        <v>594</v>
      </c>
      <c r="BI33" s="76" t="s">
        <v>596</v>
      </c>
      <c r="BJ33" s="72" t="s">
        <v>598</v>
      </c>
      <c r="BM33" s="43" t="s">
        <v>80</v>
      </c>
      <c r="BN33" s="46">
        <f>IF(M26 &lt;&gt; "", VLOOKUP(CONCATENATE("P", M26), pointsSystem, 2, FALSE), 0)</f>
        <v>0</v>
      </c>
      <c r="BO33" s="6">
        <f>IF(N26 &lt;&gt; "", VLOOKUP(CONCATENATE("P", N26), pointsSystem, 3, FALSE), 0)</f>
        <v>0</v>
      </c>
      <c r="BP33" s="47">
        <f>IF(O26 &lt;&gt; "", VLOOKUP(CONCATENATE("P", O26), pointsSystem, 4, FALSE), 0)</f>
        <v>0</v>
      </c>
      <c r="BQ33" s="46">
        <f>IF(P26 &lt;&gt; "", VLOOKUP(CONCATENATE("P", P26), pointsSystem, 2, FALSE), 0)</f>
        <v>0</v>
      </c>
      <c r="BR33" s="6">
        <f>IF(Q26 &lt;&gt; "", VLOOKUP(CONCATENATE("P", Q26), pointsSystem, 3, FALSE), 0)</f>
        <v>0</v>
      </c>
      <c r="BS33" s="47">
        <f>IF(R26 &lt;&gt; "", VLOOKUP(CONCATENATE("P", R26), pointsSystem, 4, FALSE), 0)</f>
        <v>0</v>
      </c>
      <c r="BT33" s="46">
        <f>IF(S26 &lt;&gt; "", VLOOKUP(CONCATENATE("P", S26), pointsSystem, 2, FALSE), 0)</f>
        <v>0</v>
      </c>
      <c r="BU33" s="6">
        <f>IF(T26 &lt;&gt; "", VLOOKUP(CONCATENATE("P", T26), pointsSystem, 3, FALSE), 0)</f>
        <v>0</v>
      </c>
      <c r="BV33" s="47">
        <f>IF(U26 &lt;&gt; "", VLOOKUP(CONCATENATE("P", U26), pointsSystem, 4, FALSE), 0)</f>
        <v>0</v>
      </c>
      <c r="BW33" s="46">
        <f>IF(V26 &lt;&gt; "", VLOOKUP(CONCATENATE("P", V26), pointsSystem, 2, FALSE), 0)</f>
        <v>0</v>
      </c>
      <c r="BX33" s="6">
        <f>IF(W26 &lt;&gt; "", VLOOKUP(CONCATENATE("P", W26), pointsSystem, 3, FALSE), 0)</f>
        <v>0</v>
      </c>
      <c r="BY33" s="47">
        <f>IF(X26 &lt;&gt; "", VLOOKUP(CONCATENATE("P", X26), pointsSystem, 4, FALSE), 0)</f>
        <v>0</v>
      </c>
      <c r="BZ33" s="46">
        <f>IF(Y26 &lt;&gt; "", VLOOKUP(CONCATENATE("P", Y26), pointsSystem, 2, FALSE), 0)</f>
        <v>0</v>
      </c>
      <c r="CA33" s="6">
        <f>IF(Z26 &lt;&gt; "", VLOOKUP(CONCATENATE("P", Z26), pointsSystem, 3, FALSE), 0)</f>
        <v>0</v>
      </c>
      <c r="CB33" s="47">
        <f>IF(AA26 &lt;&gt; "", VLOOKUP(CONCATENATE("P", AA26), pointsSystem, 4, FALSE), 0)</f>
        <v>0</v>
      </c>
      <c r="CC33" s="46">
        <f>IF(AB26 &lt;&gt; "", VLOOKUP(CONCATENATE("P", AB26), pointsSystem, 2, FALSE), 0)</f>
        <v>0</v>
      </c>
      <c r="CD33" s="6">
        <f>IF(AC26 &lt;&gt; "", VLOOKUP(CONCATENATE("P", AC26), pointsSystem, 3, FALSE), 0)</f>
        <v>0</v>
      </c>
      <c r="CE33" s="47">
        <f>IF(AD26 &lt;&gt; "", VLOOKUP(CONCATENATE("P", AD26), pointsSystem, 4, FALSE), 0)</f>
        <v>0</v>
      </c>
      <c r="CF33" s="46">
        <f>IF(AE26 &lt;&gt; "", VLOOKUP(CONCATENATE("P", AE26), pointsSystem, 2, FALSE), 0)</f>
        <v>0</v>
      </c>
      <c r="CG33" s="6">
        <f>IF(AF26 &lt;&gt; "", VLOOKUP(CONCATENATE("P", AF26), pointsSystem, 3, FALSE), 0)</f>
        <v>0</v>
      </c>
      <c r="CH33" s="47">
        <f>IF(AG26 &lt;&gt; "", VLOOKUP(CONCATENATE("P", AG26), pointsSystem, 4, FALSE), 0)</f>
        <v>0</v>
      </c>
      <c r="CI33" s="46">
        <f>IF(AH26 &lt;&gt; "", VLOOKUP(CONCATENATE("P", AH26), pointsSystem, 2, FALSE), 0)</f>
        <v>0</v>
      </c>
      <c r="CJ33" s="6">
        <f>IF(AI26 &lt;&gt; "", VLOOKUP(CONCATENATE("P", AI26), pointsSystem, 3, FALSE), 0)</f>
        <v>0</v>
      </c>
      <c r="CK33" s="47">
        <f>IF(AJ26 &lt;&gt; "", VLOOKUP(CONCATENATE("P", AJ26), pointsSystem, 4, FALSE), 0)</f>
        <v>0</v>
      </c>
      <c r="CL33" s="46">
        <f>IF(AK26 &lt;&gt; "", VLOOKUP(CONCATENATE("P", AK26), pointsSystem, 2, FALSE), 0)</f>
        <v>0</v>
      </c>
      <c r="CM33" s="6">
        <f>IF(AL26 &lt;&gt; "", VLOOKUP(CONCATENATE("P", AL26), pointsSystem, 3, FALSE), 0)</f>
        <v>0</v>
      </c>
      <c r="CN33" s="47">
        <f>IF(AM26 &lt;&gt; "", VLOOKUP(CONCATENATE("P", AM26), pointsSystem, 4, FALSE), 0)</f>
        <v>0</v>
      </c>
      <c r="CO33" s="46">
        <f>IF(AN26 &lt;&gt; "", VLOOKUP(CONCATENATE("P", AN26), pointsSystem, 2, FALSE), 0)</f>
        <v>0</v>
      </c>
      <c r="CP33" s="6">
        <f>IF(AO26 &lt;&gt; "", VLOOKUP(CONCATENATE("P", AO26), pointsSystem, 3, FALSE), 0)</f>
        <v>0</v>
      </c>
      <c r="CQ33" s="47">
        <f>IF(AP26 &lt;&gt; "", VLOOKUP(CONCATENATE("P", AP26), pointsSystem, 4, FALSE), 0)</f>
        <v>0</v>
      </c>
      <c r="CR33" s="46">
        <f>IF(AQ26 &lt;&gt; "", VLOOKUP(CONCATENATE("P", AQ26), pointsSystem, 2, FALSE), 0)</f>
        <v>0</v>
      </c>
      <c r="CS33" s="6">
        <f>IF(AR26 &lt;&gt; "", VLOOKUP(CONCATENATE("P", AR26), pointsSystem, 3, FALSE), 0)</f>
        <v>0</v>
      </c>
      <c r="CT33" s="47">
        <f>IF(AS26 &lt;&gt; "", VLOOKUP(CONCATENATE("P", AS26), pointsSystem, 4, FALSE), 0)</f>
        <v>0</v>
      </c>
      <c r="CU33" s="46">
        <f>IF(AT26 &lt;&gt; "", VLOOKUP(CONCATENATE("P", AT26), pointsSystem, 2, FALSE), 0)</f>
        <v>0</v>
      </c>
      <c r="CV33" s="6">
        <f>IF(AU26 &lt;&gt; "", VLOOKUP(CONCATENATE("P", AU26), pointsSystem, 3, FALSE), 0)</f>
        <v>0</v>
      </c>
      <c r="CW33" s="47">
        <f>IF(AV26 &lt;&gt; "", VLOOKUP(CONCATENATE("P", AV26), pointsSystem, 4, FALSE), 0)</f>
        <v>0</v>
      </c>
      <c r="CX33" s="46">
        <f>IF(AW26 &lt;&gt; "", VLOOKUP(CONCATENATE("P", AW26), pointsSystem, 2, FALSE), 0)</f>
        <v>0</v>
      </c>
      <c r="CY33" s="6">
        <f>IF(AX26 &lt;&gt; "", VLOOKUP(CONCATENATE("P", AX26), pointsSystem, 3, FALSE), 0)</f>
        <v>0</v>
      </c>
      <c r="CZ33" s="47">
        <f>IF(AY26 &lt;&gt; "", VLOOKUP(CONCATENATE("P", AY26), pointsSystem, 4, FALSE), 0)</f>
        <v>0</v>
      </c>
      <c r="DA33" s="48">
        <f>AZ26 * 1</f>
        <v>0</v>
      </c>
      <c r="EU33" s="228" t="s">
        <v>12</v>
      </c>
      <c r="EV33" s="13">
        <f>MAX(BN5:BN12, BN17:BN28, BN33:BN36)</f>
        <v>0</v>
      </c>
      <c r="EW33" s="30">
        <f t="shared" ref="EW33:GG33" si="103">MAX(BO5:BO12, BO17:BO28, BO33:BO36)</f>
        <v>0</v>
      </c>
      <c r="EX33" s="14">
        <f t="shared" si="103"/>
        <v>0</v>
      </c>
      <c r="EY33" s="13">
        <f t="shared" si="103"/>
        <v>0</v>
      </c>
      <c r="EZ33" s="30">
        <f t="shared" si="103"/>
        <v>0</v>
      </c>
      <c r="FA33" s="14">
        <f t="shared" si="103"/>
        <v>0</v>
      </c>
      <c r="FB33" s="13">
        <f t="shared" si="103"/>
        <v>0</v>
      </c>
      <c r="FC33" s="30">
        <f t="shared" si="103"/>
        <v>0</v>
      </c>
      <c r="FD33" s="14">
        <f t="shared" si="103"/>
        <v>0</v>
      </c>
      <c r="FE33" s="13">
        <f t="shared" si="103"/>
        <v>0</v>
      </c>
      <c r="FF33" s="30">
        <f t="shared" si="103"/>
        <v>0</v>
      </c>
      <c r="FG33" s="14">
        <f t="shared" si="103"/>
        <v>0</v>
      </c>
      <c r="FH33" s="13">
        <f t="shared" si="103"/>
        <v>0</v>
      </c>
      <c r="FI33" s="30">
        <f t="shared" si="103"/>
        <v>0</v>
      </c>
      <c r="FJ33" s="14">
        <f t="shared" si="103"/>
        <v>0</v>
      </c>
      <c r="FK33" s="13">
        <f t="shared" si="103"/>
        <v>0</v>
      </c>
      <c r="FL33" s="30">
        <f t="shared" si="103"/>
        <v>0</v>
      </c>
      <c r="FM33" s="14">
        <f t="shared" si="103"/>
        <v>0</v>
      </c>
      <c r="FN33" s="13">
        <f t="shared" si="103"/>
        <v>0</v>
      </c>
      <c r="FO33" s="30">
        <f t="shared" si="103"/>
        <v>0</v>
      </c>
      <c r="FP33" s="14">
        <f t="shared" si="103"/>
        <v>0</v>
      </c>
      <c r="FQ33" s="85">
        <f t="shared" si="103"/>
        <v>0</v>
      </c>
      <c r="FR33" s="30">
        <f t="shared" si="103"/>
        <v>0</v>
      </c>
      <c r="FS33" s="49">
        <f t="shared" si="103"/>
        <v>0</v>
      </c>
      <c r="FT33" s="13">
        <f t="shared" si="103"/>
        <v>0</v>
      </c>
      <c r="FU33" s="30">
        <f t="shared" si="103"/>
        <v>0</v>
      </c>
      <c r="FV33" s="14">
        <f t="shared" si="103"/>
        <v>0</v>
      </c>
      <c r="FW33" s="13">
        <f t="shared" si="103"/>
        <v>0</v>
      </c>
      <c r="FX33" s="30">
        <f t="shared" si="103"/>
        <v>0</v>
      </c>
      <c r="FY33" s="14">
        <f t="shared" si="103"/>
        <v>0</v>
      </c>
      <c r="FZ33" s="13">
        <f t="shared" si="103"/>
        <v>0</v>
      </c>
      <c r="GA33" s="30">
        <f t="shared" si="103"/>
        <v>0</v>
      </c>
      <c r="GB33" s="14">
        <f t="shared" si="103"/>
        <v>0</v>
      </c>
      <c r="GC33" s="13">
        <f t="shared" si="103"/>
        <v>0</v>
      </c>
      <c r="GD33" s="30">
        <f t="shared" si="103"/>
        <v>0</v>
      </c>
      <c r="GE33" s="14">
        <f t="shared" si="103"/>
        <v>0</v>
      </c>
      <c r="GF33" s="13">
        <f t="shared" si="103"/>
        <v>0</v>
      </c>
      <c r="GG33" s="30">
        <f t="shared" si="103"/>
        <v>0</v>
      </c>
      <c r="GH33" s="14">
        <f>MAX(CZ5:CZ12, CZ17:CZ28, CZ33:CZ36)</f>
        <v>0</v>
      </c>
      <c r="GI33" s="226">
        <f>SUM(DA5:DA12, DA17:DA28, DA33:DA36)</f>
        <v>0</v>
      </c>
      <c r="GL33" s="192">
        <f>SUM(EV33:GI34)</f>
        <v>0</v>
      </c>
    </row>
    <row r="34" spans="2:194" ht="16.8" customHeight="1" thickBot="1" x14ac:dyDescent="0.35">
      <c r="B34" s="8" t="s">
        <v>320</v>
      </c>
      <c r="C34" s="139" t="s">
        <v>563</v>
      </c>
      <c r="D34" s="139" t="s">
        <v>433</v>
      </c>
      <c r="E34" s="139" t="s">
        <v>607</v>
      </c>
      <c r="F34" s="72" t="s">
        <v>439</v>
      </c>
      <c r="G34" s="76" t="s">
        <v>10</v>
      </c>
      <c r="H34" s="67" t="s">
        <v>13</v>
      </c>
      <c r="I34" s="11">
        <f>SUM(BN43:DA43)</f>
        <v>0</v>
      </c>
      <c r="L34" s="139" t="s">
        <v>433</v>
      </c>
      <c r="M34" s="15"/>
      <c r="N34" s="5"/>
      <c r="O34" s="16"/>
      <c r="P34" s="15"/>
      <c r="Q34" s="5"/>
      <c r="R34" s="16"/>
      <c r="S34" s="15"/>
      <c r="T34" s="5"/>
      <c r="U34" s="16"/>
      <c r="V34" s="15"/>
      <c r="W34" s="5"/>
      <c r="X34" s="16"/>
      <c r="Y34" s="15"/>
      <c r="Z34" s="5"/>
      <c r="AA34" s="16"/>
      <c r="AB34" s="15"/>
      <c r="AC34" s="5"/>
      <c r="AD34" s="16"/>
      <c r="AE34" s="15"/>
      <c r="AF34" s="5"/>
      <c r="AG34" s="16"/>
      <c r="AH34" s="15"/>
      <c r="AI34" s="5"/>
      <c r="AJ34" s="16"/>
      <c r="AK34" s="15"/>
      <c r="AL34" s="5"/>
      <c r="AM34" s="16"/>
      <c r="AN34" s="15"/>
      <c r="AO34" s="5"/>
      <c r="AP34" s="16"/>
      <c r="AQ34" s="15"/>
      <c r="AR34" s="5"/>
      <c r="AS34" s="16"/>
      <c r="AT34" s="15"/>
      <c r="AU34" s="5"/>
      <c r="AV34" s="16"/>
      <c r="AW34" s="15"/>
      <c r="AX34" s="5"/>
      <c r="AY34" s="16"/>
      <c r="AZ34" s="11"/>
      <c r="BC34" s="12">
        <f>MAX(BE4:BE14) - (BC37 * BC40)</f>
        <v>-1157</v>
      </c>
      <c r="BD34" s="171" t="s">
        <v>407</v>
      </c>
      <c r="BE34" s="173"/>
      <c r="BH34" s="70" t="s">
        <v>594</v>
      </c>
      <c r="BI34" s="76" t="s">
        <v>596</v>
      </c>
      <c r="BJ34" s="72" t="s">
        <v>598</v>
      </c>
      <c r="BM34" s="43" t="s">
        <v>81</v>
      </c>
      <c r="BN34" s="46">
        <f>IF(M27 &lt;&gt; "", VLOOKUP(CONCATENATE("P", M27), pointsSystem, 2, FALSE), 0)</f>
        <v>0</v>
      </c>
      <c r="BO34" s="6">
        <f>IF(N27 &lt;&gt; "", VLOOKUP(CONCATENATE("P", N27), pointsSystem, 3, FALSE), 0)</f>
        <v>0</v>
      </c>
      <c r="BP34" s="47">
        <f>IF(O27 &lt;&gt; "", VLOOKUP(CONCATENATE("P", O27), pointsSystem, 4, FALSE), 0)</f>
        <v>0</v>
      </c>
      <c r="BQ34" s="46">
        <f>IF(P27 &lt;&gt; "", VLOOKUP(CONCATENATE("P", P27), pointsSystem, 2, FALSE), 0)</f>
        <v>0</v>
      </c>
      <c r="BR34" s="6">
        <f>IF(Q27 &lt;&gt; "", VLOOKUP(CONCATENATE("P", Q27), pointsSystem, 3, FALSE), 0)</f>
        <v>0</v>
      </c>
      <c r="BS34" s="47">
        <f>IF(R27 &lt;&gt; "", VLOOKUP(CONCATENATE("P", R27), pointsSystem, 4, FALSE), 0)</f>
        <v>0</v>
      </c>
      <c r="BT34" s="46">
        <f>IF(S27 &lt;&gt; "", VLOOKUP(CONCATENATE("P", S27), pointsSystem, 2, FALSE), 0)</f>
        <v>0</v>
      </c>
      <c r="BU34" s="6">
        <f>IF(T27 &lt;&gt; "", VLOOKUP(CONCATENATE("P", T27), pointsSystem, 3, FALSE), 0)</f>
        <v>0</v>
      </c>
      <c r="BV34" s="47">
        <f>IF(U27 &lt;&gt; "", VLOOKUP(CONCATENATE("P", U27), pointsSystem, 4, FALSE), 0)</f>
        <v>0</v>
      </c>
      <c r="BW34" s="46">
        <f>IF(V27 &lt;&gt; "", VLOOKUP(CONCATENATE("P", V27), pointsSystem, 2, FALSE), 0)</f>
        <v>0</v>
      </c>
      <c r="BX34" s="6">
        <f>IF(W27 &lt;&gt; "", VLOOKUP(CONCATENATE("P", W27), pointsSystem, 3, FALSE), 0)</f>
        <v>0</v>
      </c>
      <c r="BY34" s="47">
        <f>IF(X27 &lt;&gt; "", VLOOKUP(CONCATENATE("P", X27), pointsSystem, 4, FALSE), 0)</f>
        <v>0</v>
      </c>
      <c r="BZ34" s="46">
        <f>IF(Y27 &lt;&gt; "", VLOOKUP(CONCATENATE("P", Y27), pointsSystem, 2, FALSE), 0)</f>
        <v>0</v>
      </c>
      <c r="CA34" s="6">
        <f>IF(Z27 &lt;&gt; "", VLOOKUP(CONCATENATE("P", Z27), pointsSystem, 3, FALSE), 0)</f>
        <v>0</v>
      </c>
      <c r="CB34" s="47">
        <f>IF(AA27 &lt;&gt; "", VLOOKUP(CONCATENATE("P", AA27), pointsSystem, 4, FALSE), 0)</f>
        <v>0</v>
      </c>
      <c r="CC34" s="46">
        <f>IF(AB27 &lt;&gt; "", VLOOKUP(CONCATENATE("P", AB27), pointsSystem, 2, FALSE), 0)</f>
        <v>0</v>
      </c>
      <c r="CD34" s="6">
        <f>IF(AC27 &lt;&gt; "", VLOOKUP(CONCATENATE("P", AC27), pointsSystem, 3, FALSE), 0)</f>
        <v>0</v>
      </c>
      <c r="CE34" s="47">
        <f>IF(AD27 &lt;&gt; "", VLOOKUP(CONCATENATE("P", AD27), pointsSystem, 4, FALSE), 0)</f>
        <v>0</v>
      </c>
      <c r="CF34" s="46">
        <f>IF(AE27 &lt;&gt; "", VLOOKUP(CONCATENATE("P", AE27), pointsSystem, 2, FALSE), 0)</f>
        <v>0</v>
      </c>
      <c r="CG34" s="6">
        <f>IF(AF27 &lt;&gt; "", VLOOKUP(CONCATENATE("P", AF27), pointsSystem, 3, FALSE), 0)</f>
        <v>0</v>
      </c>
      <c r="CH34" s="47">
        <f>IF(AG27 &lt;&gt; "", VLOOKUP(CONCATENATE("P", AG27), pointsSystem, 4, FALSE), 0)</f>
        <v>0</v>
      </c>
      <c r="CI34" s="46">
        <f>IF(AH27 &lt;&gt; "", VLOOKUP(CONCATENATE("P", AH27), pointsSystem, 2, FALSE), 0)</f>
        <v>0</v>
      </c>
      <c r="CJ34" s="6">
        <f>IF(AI27 &lt;&gt; "", VLOOKUP(CONCATENATE("P", AI27), pointsSystem, 3, FALSE), 0)</f>
        <v>0</v>
      </c>
      <c r="CK34" s="47">
        <f>IF(AJ27 &lt;&gt; "", VLOOKUP(CONCATENATE("P", AJ27), pointsSystem, 4, FALSE), 0)</f>
        <v>0</v>
      </c>
      <c r="CL34" s="46">
        <f>IF(AK27 &lt;&gt; "", VLOOKUP(CONCATENATE("P", AK27), pointsSystem, 2, FALSE), 0)</f>
        <v>0</v>
      </c>
      <c r="CM34" s="6">
        <f>IF(AL27 &lt;&gt; "", VLOOKUP(CONCATENATE("P", AL27), pointsSystem, 3, FALSE), 0)</f>
        <v>0</v>
      </c>
      <c r="CN34" s="47">
        <f>IF(AM27 &lt;&gt; "", VLOOKUP(CONCATENATE("P", AM27), pointsSystem, 4, FALSE), 0)</f>
        <v>0</v>
      </c>
      <c r="CO34" s="46">
        <f>IF(AN27 &lt;&gt; "", VLOOKUP(CONCATENATE("P", AN27), pointsSystem, 2, FALSE), 0)</f>
        <v>0</v>
      </c>
      <c r="CP34" s="6">
        <f>IF(AO27 &lt;&gt; "", VLOOKUP(CONCATENATE("P", AO27), pointsSystem, 3, FALSE), 0)</f>
        <v>0</v>
      </c>
      <c r="CQ34" s="47">
        <f>IF(AP27 &lt;&gt; "", VLOOKUP(CONCATENATE("P", AP27), pointsSystem, 4, FALSE), 0)</f>
        <v>0</v>
      </c>
      <c r="CR34" s="46">
        <f>IF(AQ27 &lt;&gt; "", VLOOKUP(CONCATENATE("P", AQ27), pointsSystem, 2, FALSE), 0)</f>
        <v>0</v>
      </c>
      <c r="CS34" s="6">
        <f>IF(AR27 &lt;&gt; "", VLOOKUP(CONCATENATE("P", AR27), pointsSystem, 3, FALSE), 0)</f>
        <v>0</v>
      </c>
      <c r="CT34" s="47">
        <f>IF(AS27 &lt;&gt; "", VLOOKUP(CONCATENATE("P", AS27), pointsSystem, 4, FALSE), 0)</f>
        <v>0</v>
      </c>
      <c r="CU34" s="46">
        <f>IF(AT27 &lt;&gt; "", VLOOKUP(CONCATENATE("P", AT27), pointsSystem, 2, FALSE), 0)</f>
        <v>0</v>
      </c>
      <c r="CV34" s="6">
        <f>IF(AU27 &lt;&gt; "", VLOOKUP(CONCATENATE("P", AU27), pointsSystem, 3, FALSE), 0)</f>
        <v>0</v>
      </c>
      <c r="CW34" s="47">
        <f>IF(AV27 &lt;&gt; "", VLOOKUP(CONCATENATE("P", AV27), pointsSystem, 4, FALSE), 0)</f>
        <v>0</v>
      </c>
      <c r="CX34" s="46">
        <f>IF(AW27 &lt;&gt; "", VLOOKUP(CONCATENATE("P", AW27), pointsSystem, 2, FALSE), 0)</f>
        <v>0</v>
      </c>
      <c r="CY34" s="6">
        <f>IF(AX27 &lt;&gt; "", VLOOKUP(CONCATENATE("P", AX27), pointsSystem, 3, FALSE), 0)</f>
        <v>0</v>
      </c>
      <c r="CZ34" s="47">
        <f>IF(AY27 &lt;&gt; "", VLOOKUP(CONCATENATE("P", AY27), pointsSystem, 4, FALSE), 0)</f>
        <v>0</v>
      </c>
      <c r="DA34" s="48">
        <f>AZ27 * 1</f>
        <v>0</v>
      </c>
      <c r="EU34" s="228"/>
      <c r="EV34" s="17">
        <f>LARGE((BN5:BN12, BN17:BN28, BN33:BN36), 2)</f>
        <v>0</v>
      </c>
      <c r="EW34" s="31">
        <f>LARGE((BO5:BO12, BO17:BO28, BO33:BO36), 2)</f>
        <v>0</v>
      </c>
      <c r="EX34" s="18">
        <f>LARGE((BP5:BP12, BP17:BP28, BP33:BP36), 2)</f>
        <v>0</v>
      </c>
      <c r="EY34" s="17">
        <f>LARGE((BQ5:BQ12, BQ17:BQ28, BQ33:BQ36), 2)</f>
        <v>0</v>
      </c>
      <c r="EZ34" s="31">
        <f>LARGE((BR5:BR12, BR17:BR28, BR33:BR36), 2)</f>
        <v>0</v>
      </c>
      <c r="FA34" s="18">
        <f>LARGE((BS5:BS12, BS17:BS28, BS33:BS36), 2)</f>
        <v>0</v>
      </c>
      <c r="FB34" s="17">
        <f>LARGE((BT5:BT12, BT17:BT28, BT33:BT36), 2)</f>
        <v>0</v>
      </c>
      <c r="FC34" s="31">
        <f>LARGE((BU5:BU12, BU17:BU28, BU33:BU36), 2)</f>
        <v>0</v>
      </c>
      <c r="FD34" s="18">
        <f>LARGE((BV5:BV12, BV17:BV28, BV33:BV36), 2)</f>
        <v>0</v>
      </c>
      <c r="FE34" s="17">
        <f>LARGE((BW5:BW12, BW17:BW28, BW33:BW36), 2)</f>
        <v>0</v>
      </c>
      <c r="FF34" s="31">
        <f>LARGE((BX5:BX12, BX17:BX28, BX33:BX36), 2)</f>
        <v>0</v>
      </c>
      <c r="FG34" s="18">
        <f>LARGE((BY5:BY12, BY17:BY28, BY33:BY36), 2)</f>
        <v>0</v>
      </c>
      <c r="FH34" s="17">
        <f>LARGE((BZ5:BZ12, BZ17:BZ28, BZ33:BZ36), 2)</f>
        <v>0</v>
      </c>
      <c r="FI34" s="31">
        <f>LARGE((CA5:CA12, CA17:CA28, CA33:CA36), 2)</f>
        <v>0</v>
      </c>
      <c r="FJ34" s="18">
        <f>LARGE((CB5:CB12, CB17:CB28, CB33:CB36), 2)</f>
        <v>0</v>
      </c>
      <c r="FK34" s="17">
        <f>LARGE((CC5:CC12, CC17:CC28, CC33:CC36), 2)</f>
        <v>0</v>
      </c>
      <c r="FL34" s="31">
        <f>LARGE((CD5:CD12, CD17:CD28, CD33:CD36), 2)</f>
        <v>0</v>
      </c>
      <c r="FM34" s="18">
        <f>LARGE((CE5:CE12, CE17:CE28, CE33:CE36), 2)</f>
        <v>0</v>
      </c>
      <c r="FN34" s="17">
        <f>LARGE((CF5:CF12, CF17:CF28, CF33:CF36), 2)</f>
        <v>0</v>
      </c>
      <c r="FO34" s="31">
        <f>LARGE((CG5:CG12, CG17:CG28, CG33:CG36), 2)</f>
        <v>0</v>
      </c>
      <c r="FP34" s="18">
        <f>LARGE((CH5:CH12, CH17:CH28, CH33:CH36), 2)</f>
        <v>0</v>
      </c>
      <c r="FQ34" s="86">
        <f>LARGE((CI5:CI12, CI17:CI28, CI33:CI36), 2)</f>
        <v>0</v>
      </c>
      <c r="FR34" s="31">
        <f>LARGE((CJ5:CJ12, CJ17:CJ28, CJ33:CJ36), 2)</f>
        <v>0</v>
      </c>
      <c r="FS34" s="50">
        <f>LARGE((CK5:CK12, CK17:CK28, CK33:CK36), 2)</f>
        <v>0</v>
      </c>
      <c r="FT34" s="17">
        <f>LARGE((CL5:CL12, CL17:CL28, CL33:CL36), 2)</f>
        <v>0</v>
      </c>
      <c r="FU34" s="31">
        <f>LARGE((CM5:CM12, CM17:CM28, CM33:CM36), 2)</f>
        <v>0</v>
      </c>
      <c r="FV34" s="18">
        <f>LARGE((CN5:CN12, CN17:CN28, CN33:CN36), 2)</f>
        <v>0</v>
      </c>
      <c r="FW34" s="17">
        <f>LARGE((CO5:CO12, CO17:CO28, CO33:CO36), 2)</f>
        <v>0</v>
      </c>
      <c r="FX34" s="31">
        <f>LARGE((CP5:CP12, CP17:CP28, CP33:CP36), 2)</f>
        <v>0</v>
      </c>
      <c r="FY34" s="18">
        <f>LARGE((CQ5:CQ12, CQ17:CQ28, CQ33:CQ36), 2)</f>
        <v>0</v>
      </c>
      <c r="FZ34" s="17">
        <f>LARGE((CR5:CR12, CR17:CR28, CR33:CR36), 2)</f>
        <v>0</v>
      </c>
      <c r="GA34" s="31">
        <f>LARGE((CS5:CS12, CS17:CS28, CS33:CS36), 2)</f>
        <v>0</v>
      </c>
      <c r="GB34" s="18">
        <f>LARGE((CT5:CT12, CT17:CT28, CT33:CT36), 2)</f>
        <v>0</v>
      </c>
      <c r="GC34" s="17">
        <f>LARGE((CU5:CU12, CU17:CU28, CU33:CU36), 2)</f>
        <v>0</v>
      </c>
      <c r="GD34" s="31">
        <f>LARGE((CV5:CV12, CV17:CV28, CV33:CV36), 2)</f>
        <v>0</v>
      </c>
      <c r="GE34" s="18">
        <f>LARGE((CW5:CW12, CW17:CW28, CW33:CW36), 2)</f>
        <v>0</v>
      </c>
      <c r="GF34" s="17">
        <f>LARGE((CX5:CX12, CX17:CX28, CX33:CX36), 2)</f>
        <v>0</v>
      </c>
      <c r="GG34" s="31">
        <f>LARGE((CY5:CY12, CY17:CY28, CY33:CY36), 2)</f>
        <v>0</v>
      </c>
      <c r="GH34" s="18">
        <f>LARGE((CZ5:CZ12, CZ17:CZ28, CZ33:CZ36), 2)</f>
        <v>0</v>
      </c>
      <c r="GI34" s="227"/>
      <c r="GL34" s="192"/>
    </row>
    <row r="35" spans="2:194" ht="16.8" customHeight="1" x14ac:dyDescent="0.3">
      <c r="B35" s="130"/>
      <c r="C35" s="130"/>
      <c r="D35" s="130"/>
      <c r="E35" s="130"/>
      <c r="F35" s="130"/>
      <c r="G35" s="130"/>
      <c r="H35" s="130"/>
      <c r="I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H35" s="70" t="s">
        <v>594</v>
      </c>
      <c r="BI35" s="76" t="s">
        <v>596</v>
      </c>
      <c r="BJ35" s="72" t="s">
        <v>598</v>
      </c>
      <c r="BM35" s="43" t="s">
        <v>82</v>
      </c>
      <c r="BN35" s="46">
        <f>IF(M28 &lt;&gt; "", VLOOKUP(CONCATENATE("P", M28), pointsSystem, 2, FALSE), 0)</f>
        <v>0</v>
      </c>
      <c r="BO35" s="6">
        <f>IF(N28 &lt;&gt; "", VLOOKUP(CONCATENATE("P", N28), pointsSystem, 3, FALSE), 0)</f>
        <v>0</v>
      </c>
      <c r="BP35" s="47">
        <f>IF(O28 &lt;&gt; "", VLOOKUP(CONCATENATE("P", O28), pointsSystem, 4, FALSE), 0)</f>
        <v>0</v>
      </c>
      <c r="BQ35" s="46">
        <f>IF(P28 &lt;&gt; "", VLOOKUP(CONCATENATE("P", P28), pointsSystem, 2, FALSE), 0)</f>
        <v>0</v>
      </c>
      <c r="BR35" s="6">
        <f>IF(Q28 &lt;&gt; "", VLOOKUP(CONCATENATE("P", Q28), pointsSystem, 3, FALSE), 0)</f>
        <v>0</v>
      </c>
      <c r="BS35" s="47">
        <f>IF(R28 &lt;&gt; "", VLOOKUP(CONCATENATE("P", R28), pointsSystem, 4, FALSE), 0)</f>
        <v>0</v>
      </c>
      <c r="BT35" s="46">
        <f>IF(S28 &lt;&gt; "", VLOOKUP(CONCATENATE("P", S28), pointsSystem, 2, FALSE), 0)</f>
        <v>0</v>
      </c>
      <c r="BU35" s="6">
        <f>IF(T28 &lt;&gt; "", VLOOKUP(CONCATENATE("P", T28), pointsSystem, 3, FALSE), 0)</f>
        <v>0</v>
      </c>
      <c r="BV35" s="47">
        <f>IF(U28 &lt;&gt; "", VLOOKUP(CONCATENATE("P", U28), pointsSystem, 4, FALSE), 0)</f>
        <v>0</v>
      </c>
      <c r="BW35" s="46">
        <f>IF(V28 &lt;&gt; "", VLOOKUP(CONCATENATE("P", V28), pointsSystem, 2, FALSE), 0)</f>
        <v>0</v>
      </c>
      <c r="BX35" s="6">
        <f>IF(W28 &lt;&gt; "", VLOOKUP(CONCATENATE("P", W28), pointsSystem, 3, FALSE), 0)</f>
        <v>0</v>
      </c>
      <c r="BY35" s="47">
        <f>IF(X28 &lt;&gt; "", VLOOKUP(CONCATENATE("P", X28), pointsSystem, 4, FALSE), 0)</f>
        <v>0</v>
      </c>
      <c r="BZ35" s="46">
        <f>IF(Y28 &lt;&gt; "", VLOOKUP(CONCATENATE("P", Y28), pointsSystem, 2, FALSE), 0)</f>
        <v>0</v>
      </c>
      <c r="CA35" s="6">
        <f>IF(Z28 &lt;&gt; "", VLOOKUP(CONCATENATE("P", Z28), pointsSystem, 3, FALSE), 0)</f>
        <v>0</v>
      </c>
      <c r="CB35" s="47">
        <f>IF(AA28 &lt;&gt; "", VLOOKUP(CONCATENATE("P", AA28), pointsSystem, 4, FALSE), 0)</f>
        <v>0</v>
      </c>
      <c r="CC35" s="46">
        <f>IF(AB28 &lt;&gt; "", VLOOKUP(CONCATENATE("P", AB28), pointsSystem, 2, FALSE), 0)</f>
        <v>0</v>
      </c>
      <c r="CD35" s="6">
        <f>IF(AC28 &lt;&gt; "", VLOOKUP(CONCATENATE("P", AC28), pointsSystem, 3, FALSE), 0)</f>
        <v>0</v>
      </c>
      <c r="CE35" s="47">
        <f>IF(AD28 &lt;&gt; "", VLOOKUP(CONCATENATE("P", AD28), pointsSystem, 4, FALSE), 0)</f>
        <v>0</v>
      </c>
      <c r="CF35" s="46">
        <f>IF(AE28 &lt;&gt; "", VLOOKUP(CONCATENATE("P", AE28), pointsSystem, 2, FALSE), 0)</f>
        <v>0</v>
      </c>
      <c r="CG35" s="6">
        <f>IF(AF28 &lt;&gt; "", VLOOKUP(CONCATENATE("P", AF28), pointsSystem, 3, FALSE), 0)</f>
        <v>0</v>
      </c>
      <c r="CH35" s="47">
        <f>IF(AG28 &lt;&gt; "", VLOOKUP(CONCATENATE("P", AG28), pointsSystem, 4, FALSE), 0)</f>
        <v>0</v>
      </c>
      <c r="CI35" s="46">
        <f>IF(AH28 &lt;&gt; "", VLOOKUP(CONCATENATE("P", AH28), pointsSystem, 2, FALSE), 0)</f>
        <v>0</v>
      </c>
      <c r="CJ35" s="6">
        <f>IF(AI28 &lt;&gt; "", VLOOKUP(CONCATENATE("P", AI28), pointsSystem, 3, FALSE), 0)</f>
        <v>0</v>
      </c>
      <c r="CK35" s="47">
        <f>IF(AJ28 &lt;&gt; "", VLOOKUP(CONCATENATE("P", AJ28), pointsSystem, 4, FALSE), 0)</f>
        <v>0</v>
      </c>
      <c r="CL35" s="46">
        <f>IF(AK28 &lt;&gt; "", VLOOKUP(CONCATENATE("P", AK28), pointsSystem, 2, FALSE), 0)</f>
        <v>0</v>
      </c>
      <c r="CM35" s="6">
        <f>IF(AL28 &lt;&gt; "", VLOOKUP(CONCATENATE("P", AL28), pointsSystem, 3, FALSE), 0)</f>
        <v>0</v>
      </c>
      <c r="CN35" s="47">
        <f>IF(AM28 &lt;&gt; "", VLOOKUP(CONCATENATE("P", AM28), pointsSystem, 4, FALSE), 0)</f>
        <v>0</v>
      </c>
      <c r="CO35" s="46">
        <f>IF(AN28 &lt;&gt; "", VLOOKUP(CONCATENATE("P", AN28), pointsSystem, 2, FALSE), 0)</f>
        <v>0</v>
      </c>
      <c r="CP35" s="6">
        <f>IF(AO28 &lt;&gt; "", VLOOKUP(CONCATENATE("P", AO28), pointsSystem, 3, FALSE), 0)</f>
        <v>0</v>
      </c>
      <c r="CQ35" s="47">
        <f>IF(AP28 &lt;&gt; "", VLOOKUP(CONCATENATE("P", AP28), pointsSystem, 4, FALSE), 0)</f>
        <v>0</v>
      </c>
      <c r="CR35" s="46">
        <f>IF(AQ28 &lt;&gt; "", VLOOKUP(CONCATENATE("P", AQ28), pointsSystem, 2, FALSE), 0)</f>
        <v>0</v>
      </c>
      <c r="CS35" s="6">
        <f>IF(AR28 &lt;&gt; "", VLOOKUP(CONCATENATE("P", AR28), pointsSystem, 3, FALSE), 0)</f>
        <v>0</v>
      </c>
      <c r="CT35" s="47">
        <f>IF(AS28 &lt;&gt; "", VLOOKUP(CONCATENATE("P", AS28), pointsSystem, 4, FALSE), 0)</f>
        <v>0</v>
      </c>
      <c r="CU35" s="46">
        <f>IF(AT28 &lt;&gt; "", VLOOKUP(CONCATENATE("P", AT28), pointsSystem, 2, FALSE), 0)</f>
        <v>0</v>
      </c>
      <c r="CV35" s="6">
        <f>IF(AU28 &lt;&gt; "", VLOOKUP(CONCATENATE("P", AU28), pointsSystem, 3, FALSE), 0)</f>
        <v>0</v>
      </c>
      <c r="CW35" s="47">
        <f>IF(AV28 &lt;&gt; "", VLOOKUP(CONCATENATE("P", AV28), pointsSystem, 4, FALSE), 0)</f>
        <v>0</v>
      </c>
      <c r="CX35" s="46">
        <f>IF(AW28 &lt;&gt; "", VLOOKUP(CONCATENATE("P", AW28), pointsSystem, 2, FALSE), 0)</f>
        <v>0</v>
      </c>
      <c r="CY35" s="6">
        <f>IF(AX28 &lt;&gt; "", VLOOKUP(CONCATENATE("P", AX28), pointsSystem, 3, FALSE), 0)</f>
        <v>0</v>
      </c>
      <c r="CZ35" s="47">
        <f>IF(AY28 &lt;&gt; "", VLOOKUP(CONCATENATE("P", AY28), pointsSystem, 4, FALSE), 0)</f>
        <v>0</v>
      </c>
      <c r="DA35" s="48">
        <f>AZ28 * 1</f>
        <v>0</v>
      </c>
    </row>
    <row r="36" spans="2:194" ht="16.8" customHeight="1" thickBot="1" x14ac:dyDescent="0.35">
      <c r="B36" s="146"/>
      <c r="C36" s="146"/>
      <c r="D36" s="146"/>
      <c r="E36" s="146"/>
      <c r="F36" s="146"/>
      <c r="G36" s="146"/>
      <c r="H36" s="146"/>
      <c r="I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H36" s="70" t="s">
        <v>594</v>
      </c>
      <c r="BI36" s="76" t="s">
        <v>596</v>
      </c>
      <c r="BJ36" s="72" t="s">
        <v>598</v>
      </c>
      <c r="BM36" s="43" t="s">
        <v>340</v>
      </c>
      <c r="BN36" s="46">
        <f>IF(M44 &lt;&gt; "", VLOOKUP(CONCATENATE("P", M44), pointsSystem, 2, FALSE), 0)</f>
        <v>0</v>
      </c>
      <c r="BO36" s="6">
        <f>IF(N44 &lt;&gt; "", VLOOKUP(CONCATENATE("P", N44), pointsSystem, 3, FALSE), 0)</f>
        <v>0</v>
      </c>
      <c r="BP36" s="47">
        <f>IF(O44 &lt;&gt; "", VLOOKUP(CONCATENATE("P", O44), pointsSystem, 4, FALSE), 0)</f>
        <v>0</v>
      </c>
      <c r="BQ36" s="46">
        <f>IF(P44 &lt;&gt; "", VLOOKUP(CONCATENATE("P", P44), pointsSystem, 2, FALSE), 0)</f>
        <v>0</v>
      </c>
      <c r="BR36" s="6">
        <f>IF(Q44 &lt;&gt; "", VLOOKUP(CONCATENATE("P", Q44), pointsSystem, 3, FALSE), 0)</f>
        <v>0</v>
      </c>
      <c r="BS36" s="47">
        <f>IF(R44 &lt;&gt; "", VLOOKUP(CONCATENATE("P", R44), pointsSystem, 4, FALSE), 0)</f>
        <v>0</v>
      </c>
      <c r="BT36" s="46">
        <f>IF(S44 &lt;&gt; "", VLOOKUP(CONCATENATE("P", S44), pointsSystem, 2, FALSE), 0)</f>
        <v>0</v>
      </c>
      <c r="BU36" s="6">
        <f>IF(T44 &lt;&gt; "", VLOOKUP(CONCATENATE("P", T44), pointsSystem, 3, FALSE), 0)</f>
        <v>0</v>
      </c>
      <c r="BV36" s="47">
        <f>IF(U44 &lt;&gt; "", VLOOKUP(CONCATENATE("P", U44), pointsSystem, 4, FALSE), 0)</f>
        <v>0</v>
      </c>
      <c r="BW36" s="46">
        <f>IF(V44 &lt;&gt; "", VLOOKUP(CONCATENATE("P", V44), pointsSystem, 2, FALSE), 0)</f>
        <v>0</v>
      </c>
      <c r="BX36" s="6">
        <f>IF(W44 &lt;&gt; "", VLOOKUP(CONCATENATE("P", W44), pointsSystem, 3, FALSE), 0)</f>
        <v>0</v>
      </c>
      <c r="BY36" s="47">
        <f>IF(X44 &lt;&gt; "", VLOOKUP(CONCATENATE("P", X44), pointsSystem, 4, FALSE), 0)</f>
        <v>0</v>
      </c>
      <c r="BZ36" s="46">
        <f>IF(Y44 &lt;&gt; "", VLOOKUP(CONCATENATE("P", Y44), pointsSystem, 2, FALSE), 0)</f>
        <v>0</v>
      </c>
      <c r="CA36" s="6">
        <f>IF(Z44 &lt;&gt; "", VLOOKUP(CONCATENATE("P", Z44), pointsSystem, 3, FALSE), 0)</f>
        <v>0</v>
      </c>
      <c r="CB36" s="47">
        <f>IF(AA44 &lt;&gt; "", VLOOKUP(CONCATENATE("P", AA44), pointsSystem, 4, FALSE), 0)</f>
        <v>0</v>
      </c>
      <c r="CC36" s="46">
        <f>IF(AB44 &lt;&gt; "", VLOOKUP(CONCATENATE("P", AB44), pointsSystem, 2, FALSE), 0)</f>
        <v>0</v>
      </c>
      <c r="CD36" s="6">
        <f>IF(AC44 &lt;&gt; "", VLOOKUP(CONCATENATE("P", AC44), pointsSystem, 3, FALSE), 0)</f>
        <v>0</v>
      </c>
      <c r="CE36" s="47">
        <f>IF(AD44 &lt;&gt; "", VLOOKUP(CONCATENATE("P", AD44), pointsSystem, 4, FALSE), 0)</f>
        <v>0</v>
      </c>
      <c r="CF36" s="46">
        <f>IF(AE44 &lt;&gt; "", VLOOKUP(CONCATENATE("P", AE44), pointsSystem, 2, FALSE), 0)</f>
        <v>0</v>
      </c>
      <c r="CG36" s="6">
        <f>IF(AF44 &lt;&gt; "", VLOOKUP(CONCATENATE("P", AF44), pointsSystem, 3, FALSE), 0)</f>
        <v>0</v>
      </c>
      <c r="CH36" s="47">
        <f>IF(AG44 &lt;&gt; "", VLOOKUP(CONCATENATE("P", AG44), pointsSystem, 4, FALSE), 0)</f>
        <v>0</v>
      </c>
      <c r="CI36" s="46">
        <f>IF(AH44 &lt;&gt; "", VLOOKUP(CONCATENATE("P", AH44), pointsSystem, 2, FALSE), 0)</f>
        <v>0</v>
      </c>
      <c r="CJ36" s="6">
        <f>IF(AI44 &lt;&gt; "", VLOOKUP(CONCATENATE("P", AI44), pointsSystem, 3, FALSE), 0)</f>
        <v>0</v>
      </c>
      <c r="CK36" s="47">
        <f>IF(AJ44 &lt;&gt; "", VLOOKUP(CONCATENATE("P", AJ44), pointsSystem, 4, FALSE), 0)</f>
        <v>0</v>
      </c>
      <c r="CL36" s="46">
        <f>IF(AK44 &lt;&gt; "", VLOOKUP(CONCATENATE("P", AK44), pointsSystem, 2, FALSE), 0)</f>
        <v>0</v>
      </c>
      <c r="CM36" s="6">
        <f>IF(AL44 &lt;&gt; "", VLOOKUP(CONCATENATE("P", AL44), pointsSystem, 3, FALSE), 0)</f>
        <v>0</v>
      </c>
      <c r="CN36" s="47">
        <f>IF(AM44 &lt;&gt; "", VLOOKUP(CONCATENATE("P", AM44), pointsSystem, 4, FALSE), 0)</f>
        <v>0</v>
      </c>
      <c r="CO36" s="46">
        <f>IF(AN44 &lt;&gt; "", VLOOKUP(CONCATENATE("P", AN44), pointsSystem, 2, FALSE), 0)</f>
        <v>0</v>
      </c>
      <c r="CP36" s="6">
        <f>IF(AO44 &lt;&gt; "", VLOOKUP(CONCATENATE("P", AO44), pointsSystem, 3, FALSE), 0)</f>
        <v>0</v>
      </c>
      <c r="CQ36" s="47">
        <f>IF(AP44 &lt;&gt; "", VLOOKUP(CONCATENATE("P", AP44), pointsSystem, 4, FALSE), 0)</f>
        <v>0</v>
      </c>
      <c r="CR36" s="46">
        <f>IF(AQ44 &lt;&gt; "", VLOOKUP(CONCATENATE("P", AQ44), pointsSystem, 2, FALSE), 0)</f>
        <v>0</v>
      </c>
      <c r="CS36" s="6">
        <f>IF(AR44 &lt;&gt; "", VLOOKUP(CONCATENATE("P", AR44), pointsSystem, 3, FALSE), 0)</f>
        <v>0</v>
      </c>
      <c r="CT36" s="47">
        <f>IF(AS44 &lt;&gt; "", VLOOKUP(CONCATENATE("P", AS44), pointsSystem, 4, FALSE), 0)</f>
        <v>0</v>
      </c>
      <c r="CU36" s="46">
        <f>IF(AT44 &lt;&gt; "", VLOOKUP(CONCATENATE("P", AT44), pointsSystem, 2, FALSE), 0)</f>
        <v>0</v>
      </c>
      <c r="CV36" s="6">
        <f>IF(AU44 &lt;&gt; "", VLOOKUP(CONCATENATE("P", AU44), pointsSystem, 3, FALSE), 0)</f>
        <v>0</v>
      </c>
      <c r="CW36" s="47">
        <f>IF(AV44 &lt;&gt; "", VLOOKUP(CONCATENATE("P", AV44), pointsSystem, 4, FALSE), 0)</f>
        <v>0</v>
      </c>
      <c r="CX36" s="46">
        <f>IF(AW44 &lt;&gt; "", VLOOKUP(CONCATENATE("P", AW44), pointsSystem, 2, FALSE), 0)</f>
        <v>0</v>
      </c>
      <c r="CY36" s="6">
        <f>IF(AX44 &lt;&gt; "", VLOOKUP(CONCATENATE("P", AX44), pointsSystem, 3, FALSE), 0)</f>
        <v>0</v>
      </c>
      <c r="CZ36" s="47">
        <f>IF(AY44 &lt;&gt; "", VLOOKUP(CONCATENATE("P", AY44), pointsSystem, 4, FALSE), 0)</f>
        <v>0</v>
      </c>
      <c r="DA36" s="48">
        <f>AZ44 * 1</f>
        <v>0</v>
      </c>
    </row>
    <row r="37" spans="2:194" ht="16.8" customHeight="1" x14ac:dyDescent="0.3">
      <c r="B37" s="8" t="s">
        <v>131</v>
      </c>
      <c r="C37" s="42" t="s">
        <v>187</v>
      </c>
      <c r="D37" s="42" t="s">
        <v>340</v>
      </c>
      <c r="E37" s="42" t="s">
        <v>335</v>
      </c>
      <c r="F37" s="70" t="s">
        <v>34</v>
      </c>
      <c r="G37" s="75" t="s">
        <v>8</v>
      </c>
      <c r="H37" s="72" t="s">
        <v>12</v>
      </c>
      <c r="I37" s="11">
        <f>SUM(BN8:DA8)</f>
        <v>0</v>
      </c>
      <c r="L37" s="42" t="s">
        <v>340</v>
      </c>
      <c r="M37" s="15" t="s">
        <v>131</v>
      </c>
      <c r="N37" s="5" t="s">
        <v>131</v>
      </c>
      <c r="O37" s="16" t="s">
        <v>131</v>
      </c>
      <c r="P37" s="15" t="s">
        <v>131</v>
      </c>
      <c r="Q37" s="5" t="s">
        <v>131</v>
      </c>
      <c r="R37" s="16" t="s">
        <v>131</v>
      </c>
      <c r="S37" s="15" t="s">
        <v>131</v>
      </c>
      <c r="T37" s="5" t="s">
        <v>131</v>
      </c>
      <c r="U37" s="16" t="s">
        <v>131</v>
      </c>
      <c r="V37" s="15" t="s">
        <v>131</v>
      </c>
      <c r="W37" s="5" t="s">
        <v>131</v>
      </c>
      <c r="X37" s="16" t="s">
        <v>131</v>
      </c>
      <c r="Y37" s="15" t="s">
        <v>131</v>
      </c>
      <c r="Z37" s="5" t="s">
        <v>131</v>
      </c>
      <c r="AA37" s="16" t="s">
        <v>131</v>
      </c>
      <c r="AB37" s="15" t="s">
        <v>131</v>
      </c>
      <c r="AC37" s="5" t="s">
        <v>131</v>
      </c>
      <c r="AD37" s="16" t="s">
        <v>131</v>
      </c>
      <c r="AE37" s="15" t="s">
        <v>131</v>
      </c>
      <c r="AF37" s="5" t="s">
        <v>131</v>
      </c>
      <c r="AG37" s="16" t="s">
        <v>131</v>
      </c>
      <c r="AH37" s="15" t="s">
        <v>131</v>
      </c>
      <c r="AI37" s="5" t="s">
        <v>131</v>
      </c>
      <c r="AJ37" s="16" t="s">
        <v>131</v>
      </c>
      <c r="AK37" s="15" t="s">
        <v>131</v>
      </c>
      <c r="AL37" s="5" t="s">
        <v>131</v>
      </c>
      <c r="AM37" s="16" t="s">
        <v>131</v>
      </c>
      <c r="AN37" s="15" t="s">
        <v>131</v>
      </c>
      <c r="AO37" s="5" t="s">
        <v>131</v>
      </c>
      <c r="AP37" s="16" t="s">
        <v>131</v>
      </c>
      <c r="AQ37" s="15" t="s">
        <v>131</v>
      </c>
      <c r="AR37" s="5" t="s">
        <v>131</v>
      </c>
      <c r="AS37" s="16" t="s">
        <v>131</v>
      </c>
      <c r="AT37" s="15" t="s">
        <v>131</v>
      </c>
      <c r="AU37" s="5" t="s">
        <v>131</v>
      </c>
      <c r="AV37" s="16" t="s">
        <v>131</v>
      </c>
      <c r="AW37" s="15" t="s">
        <v>131</v>
      </c>
      <c r="AX37" s="5" t="s">
        <v>131</v>
      </c>
      <c r="AY37" s="16" t="s">
        <v>131</v>
      </c>
      <c r="AZ37" s="11"/>
      <c r="BC37" s="10">
        <f>13 - BC38</f>
        <v>13</v>
      </c>
      <c r="BD37" s="180" t="s">
        <v>406</v>
      </c>
      <c r="BE37" s="182"/>
      <c r="BH37" s="69" t="s">
        <v>593</v>
      </c>
      <c r="BI37" s="66" t="s">
        <v>595</v>
      </c>
      <c r="BJ37" s="78" t="s">
        <v>599</v>
      </c>
      <c r="BM37" s="131" t="s">
        <v>321</v>
      </c>
      <c r="BN37" s="46">
        <f>IF(M29 &lt;&gt; "", VLOOKUP(CONCATENATE("P", M29), pointsSystem, 2, FALSE), 0)</f>
        <v>0</v>
      </c>
      <c r="BO37" s="6">
        <f>IF(N29 &lt;&gt; "", VLOOKUP(CONCATENATE("P", N29), pointsSystem, 3, FALSE), 0)</f>
        <v>0</v>
      </c>
      <c r="BP37" s="47">
        <f>IF(O29 &lt;&gt; "", VLOOKUP(CONCATENATE("P", O29), pointsSystem, 4, FALSE), 0)</f>
        <v>0</v>
      </c>
      <c r="BQ37" s="46">
        <f>IF(P29 &lt;&gt; "", VLOOKUP(CONCATENATE("P", P29), pointsSystem, 2, FALSE), 0)</f>
        <v>0</v>
      </c>
      <c r="BR37" s="6">
        <f>IF(Q29 &lt;&gt; "", VLOOKUP(CONCATENATE("P", Q29), pointsSystem, 3, FALSE), 0)</f>
        <v>0</v>
      </c>
      <c r="BS37" s="47">
        <f>IF(R29 &lt;&gt; "", VLOOKUP(CONCATENATE("P", R29), pointsSystem, 4, FALSE), 0)</f>
        <v>0</v>
      </c>
      <c r="BT37" s="46">
        <f>IF(S29 &lt;&gt; "", VLOOKUP(CONCATENATE("P", S29), pointsSystem, 2, FALSE), 0)</f>
        <v>0</v>
      </c>
      <c r="BU37" s="6">
        <f>IF(T29 &lt;&gt; "", VLOOKUP(CONCATENATE("P", T29), pointsSystem, 3, FALSE), 0)</f>
        <v>0</v>
      </c>
      <c r="BV37" s="47">
        <f>IF(U29 &lt;&gt; "", VLOOKUP(CONCATENATE("P", U29), pointsSystem, 4, FALSE), 0)</f>
        <v>0</v>
      </c>
      <c r="BW37" s="46">
        <f>IF(V29 &lt;&gt; "", VLOOKUP(CONCATENATE("P", V29), pointsSystem, 2, FALSE), 0)</f>
        <v>0</v>
      </c>
      <c r="BX37" s="6">
        <f>IF(W29 &lt;&gt; "", VLOOKUP(CONCATENATE("P", W29), pointsSystem, 3, FALSE), 0)</f>
        <v>0</v>
      </c>
      <c r="BY37" s="47">
        <f>IF(X29 &lt;&gt; "", VLOOKUP(CONCATENATE("P", X29), pointsSystem, 4, FALSE), 0)</f>
        <v>0</v>
      </c>
      <c r="BZ37" s="46">
        <f>IF(Y29 &lt;&gt; "", VLOOKUP(CONCATENATE("P", Y29), pointsSystem, 2, FALSE), 0)</f>
        <v>0</v>
      </c>
      <c r="CA37" s="6">
        <f>IF(Z29 &lt;&gt; "", VLOOKUP(CONCATENATE("P", Z29), pointsSystem, 3, FALSE), 0)</f>
        <v>0</v>
      </c>
      <c r="CB37" s="47">
        <f>IF(AA29 &lt;&gt; "", VLOOKUP(CONCATENATE("P", AA29), pointsSystem, 4, FALSE), 0)</f>
        <v>0</v>
      </c>
      <c r="CC37" s="46">
        <f>IF(AB29 &lt;&gt; "", VLOOKUP(CONCATENATE("P", AB29), pointsSystem, 2, FALSE), 0)</f>
        <v>0</v>
      </c>
      <c r="CD37" s="6">
        <f>IF(AC29 &lt;&gt; "", VLOOKUP(CONCATENATE("P", AC29), pointsSystem, 3, FALSE), 0)</f>
        <v>0</v>
      </c>
      <c r="CE37" s="47">
        <f>IF(AD29 &lt;&gt; "", VLOOKUP(CONCATENATE("P", AD29), pointsSystem, 4, FALSE), 0)</f>
        <v>0</v>
      </c>
      <c r="CF37" s="46">
        <f>IF(AE29 &lt;&gt; "", VLOOKUP(CONCATENATE("P", AE29), pointsSystem, 2, FALSE), 0)</f>
        <v>0</v>
      </c>
      <c r="CG37" s="6">
        <f>IF(AF29 &lt;&gt; "", VLOOKUP(CONCATENATE("P", AF29), pointsSystem, 3, FALSE), 0)</f>
        <v>0</v>
      </c>
      <c r="CH37" s="47">
        <f>IF(AG29 &lt;&gt; "", VLOOKUP(CONCATENATE("P", AG29), pointsSystem, 4, FALSE), 0)</f>
        <v>0</v>
      </c>
      <c r="CI37" s="46">
        <f>IF(AH29 &lt;&gt; "", VLOOKUP(CONCATENATE("P", AH29), pointsSystem, 2, FALSE), 0)</f>
        <v>0</v>
      </c>
      <c r="CJ37" s="6">
        <f>IF(AI29 &lt;&gt; "", VLOOKUP(CONCATENATE("P", AI29), pointsSystem, 3, FALSE), 0)</f>
        <v>0</v>
      </c>
      <c r="CK37" s="47">
        <f>IF(AJ29 &lt;&gt; "", VLOOKUP(CONCATENATE("P", AJ29), pointsSystem, 4, FALSE), 0)</f>
        <v>0</v>
      </c>
      <c r="CL37" s="46">
        <f>IF(AK29 &lt;&gt; "", VLOOKUP(CONCATENATE("P", AK29), pointsSystem, 2, FALSE), 0)</f>
        <v>0</v>
      </c>
      <c r="CM37" s="6">
        <f>IF(AL29 &lt;&gt; "", VLOOKUP(CONCATENATE("P", AL29), pointsSystem, 3, FALSE), 0)</f>
        <v>0</v>
      </c>
      <c r="CN37" s="47">
        <f>IF(AM29 &lt;&gt; "", VLOOKUP(CONCATENATE("P", AM29), pointsSystem, 4, FALSE), 0)</f>
        <v>0</v>
      </c>
      <c r="CO37" s="46">
        <f>IF(AN29 &lt;&gt; "", VLOOKUP(CONCATENATE("P", AN29), pointsSystem, 2, FALSE), 0)</f>
        <v>0</v>
      </c>
      <c r="CP37" s="6">
        <f>IF(AO29 &lt;&gt; "", VLOOKUP(CONCATENATE("P", AO29), pointsSystem, 3, FALSE), 0)</f>
        <v>0</v>
      </c>
      <c r="CQ37" s="47">
        <f>IF(AP29 &lt;&gt; "", VLOOKUP(CONCATENATE("P", AP29), pointsSystem, 4, FALSE), 0)</f>
        <v>0</v>
      </c>
      <c r="CR37" s="46">
        <f>IF(AQ29 &lt;&gt; "", VLOOKUP(CONCATENATE("P", AQ29), pointsSystem, 2, FALSE), 0)</f>
        <v>0</v>
      </c>
      <c r="CS37" s="6">
        <f>IF(AR29 &lt;&gt; "", VLOOKUP(CONCATENATE("P", AR29), pointsSystem, 3, FALSE), 0)</f>
        <v>0</v>
      </c>
      <c r="CT37" s="47">
        <f>IF(AS29 &lt;&gt; "", VLOOKUP(CONCATENATE("P", AS29), pointsSystem, 4, FALSE), 0)</f>
        <v>0</v>
      </c>
      <c r="CU37" s="46">
        <f>IF(AT29 &lt;&gt; "", VLOOKUP(CONCATENATE("P", AT29), pointsSystem, 2, FALSE), 0)</f>
        <v>0</v>
      </c>
      <c r="CV37" s="6">
        <f>IF(AU29 &lt;&gt; "", VLOOKUP(CONCATENATE("P", AU29), pointsSystem, 3, FALSE), 0)</f>
        <v>0</v>
      </c>
      <c r="CW37" s="47">
        <f>IF(AV29 &lt;&gt; "", VLOOKUP(CONCATENATE("P", AV29), pointsSystem, 4, FALSE), 0)</f>
        <v>0</v>
      </c>
      <c r="CX37" s="46">
        <f>IF(AW29 &lt;&gt; "", VLOOKUP(CONCATENATE("P", AW29), pointsSystem, 2, FALSE), 0)</f>
        <v>0</v>
      </c>
      <c r="CY37" s="6">
        <f>IF(AX29 &lt;&gt; "", VLOOKUP(CONCATENATE("P", AX29), pointsSystem, 3, FALSE), 0)</f>
        <v>0</v>
      </c>
      <c r="CZ37" s="47">
        <f>IF(AY29 &lt;&gt; "", VLOOKUP(CONCATENATE("P", AY29), pointsSystem, 4, FALSE), 0)</f>
        <v>0</v>
      </c>
      <c r="DA37" s="48">
        <f>AZ29 * 1</f>
        <v>0</v>
      </c>
    </row>
    <row r="38" spans="2:194" ht="16.8" customHeight="1" thickBot="1" x14ac:dyDescent="0.35">
      <c r="B38" s="8" t="s">
        <v>131</v>
      </c>
      <c r="C38" s="64" t="s">
        <v>226</v>
      </c>
      <c r="D38" s="64" t="s">
        <v>340</v>
      </c>
      <c r="E38" s="64" t="s">
        <v>446</v>
      </c>
      <c r="F38" s="71" t="s">
        <v>6</v>
      </c>
      <c r="G38" s="74" t="s">
        <v>9</v>
      </c>
      <c r="H38" s="72" t="s">
        <v>12</v>
      </c>
      <c r="I38" s="11">
        <f>SUM(BN12:DA12)</f>
        <v>0</v>
      </c>
      <c r="L38" s="64" t="s">
        <v>340</v>
      </c>
      <c r="M38" s="15" t="s">
        <v>131</v>
      </c>
      <c r="N38" s="5" t="s">
        <v>131</v>
      </c>
      <c r="O38" s="16" t="s">
        <v>131</v>
      </c>
      <c r="P38" s="15" t="s">
        <v>131</v>
      </c>
      <c r="Q38" s="5" t="s">
        <v>131</v>
      </c>
      <c r="R38" s="16" t="s">
        <v>131</v>
      </c>
      <c r="S38" s="15" t="s">
        <v>131</v>
      </c>
      <c r="T38" s="5" t="s">
        <v>131</v>
      </c>
      <c r="U38" s="16" t="s">
        <v>131</v>
      </c>
      <c r="V38" s="15" t="s">
        <v>131</v>
      </c>
      <c r="W38" s="5" t="s">
        <v>131</v>
      </c>
      <c r="X38" s="16" t="s">
        <v>131</v>
      </c>
      <c r="Y38" s="15" t="s">
        <v>131</v>
      </c>
      <c r="Z38" s="5" t="s">
        <v>131</v>
      </c>
      <c r="AA38" s="16" t="s">
        <v>131</v>
      </c>
      <c r="AB38" s="15" t="s">
        <v>131</v>
      </c>
      <c r="AC38" s="5" t="s">
        <v>131</v>
      </c>
      <c r="AD38" s="16" t="s">
        <v>131</v>
      </c>
      <c r="AE38" s="15" t="s">
        <v>131</v>
      </c>
      <c r="AF38" s="5" t="s">
        <v>131</v>
      </c>
      <c r="AG38" s="16" t="s">
        <v>131</v>
      </c>
      <c r="AH38" s="15" t="s">
        <v>131</v>
      </c>
      <c r="AI38" s="5" t="s">
        <v>131</v>
      </c>
      <c r="AJ38" s="16" t="s">
        <v>131</v>
      </c>
      <c r="AK38" s="15" t="s">
        <v>131</v>
      </c>
      <c r="AL38" s="5" t="s">
        <v>131</v>
      </c>
      <c r="AM38" s="16" t="s">
        <v>131</v>
      </c>
      <c r="AN38" s="15" t="s">
        <v>131</v>
      </c>
      <c r="AO38" s="5" t="s">
        <v>131</v>
      </c>
      <c r="AP38" s="16" t="s">
        <v>131</v>
      </c>
      <c r="AQ38" s="15" t="s">
        <v>131</v>
      </c>
      <c r="AR38" s="5" t="s">
        <v>131</v>
      </c>
      <c r="AS38" s="16" t="s">
        <v>131</v>
      </c>
      <c r="AT38" s="15" t="s">
        <v>131</v>
      </c>
      <c r="AU38" s="5" t="s">
        <v>131</v>
      </c>
      <c r="AV38" s="16" t="s">
        <v>131</v>
      </c>
      <c r="AW38" s="15" t="s">
        <v>131</v>
      </c>
      <c r="AX38" s="5" t="s">
        <v>131</v>
      </c>
      <c r="AY38" s="16" t="s">
        <v>131</v>
      </c>
      <c r="AZ38" s="11"/>
      <c r="BC38" s="12">
        <v>0</v>
      </c>
      <c r="BD38" s="171" t="s">
        <v>405</v>
      </c>
      <c r="BE38" s="173"/>
      <c r="BH38" s="69" t="s">
        <v>593</v>
      </c>
      <c r="BI38" s="66" t="s">
        <v>595</v>
      </c>
      <c r="BJ38" s="78" t="s">
        <v>599</v>
      </c>
      <c r="BM38" s="131" t="s">
        <v>322</v>
      </c>
      <c r="BN38" s="46">
        <f>IF(M30 &lt;&gt; "", VLOOKUP(CONCATENATE("P", M30), pointsSystem, 2, FALSE), 0)</f>
        <v>0</v>
      </c>
      <c r="BO38" s="6">
        <f>IF(N30 &lt;&gt; "", VLOOKUP(CONCATENATE("P", N30), pointsSystem, 3, FALSE), 0)</f>
        <v>0</v>
      </c>
      <c r="BP38" s="47">
        <f>IF(O30 &lt;&gt; "", VLOOKUP(CONCATENATE("P", O30), pointsSystem, 4, FALSE), 0)</f>
        <v>0</v>
      </c>
      <c r="BQ38" s="46">
        <f>IF(P30 &lt;&gt; "", VLOOKUP(CONCATENATE("P", P30), pointsSystem, 2, FALSE), 0)</f>
        <v>0</v>
      </c>
      <c r="BR38" s="6">
        <f>IF(Q30 &lt;&gt; "", VLOOKUP(CONCATENATE("P", Q30), pointsSystem, 3, FALSE), 0)</f>
        <v>0</v>
      </c>
      <c r="BS38" s="47">
        <f>IF(R30 &lt;&gt; "", VLOOKUP(CONCATENATE("P", R30), pointsSystem, 4, FALSE), 0)</f>
        <v>0</v>
      </c>
      <c r="BT38" s="46">
        <f>IF(S30 &lt;&gt; "", VLOOKUP(CONCATENATE("P", S30), pointsSystem, 2, FALSE), 0)</f>
        <v>0</v>
      </c>
      <c r="BU38" s="6">
        <f>IF(T30 &lt;&gt; "", VLOOKUP(CONCATENATE("P", T30), pointsSystem, 3, FALSE), 0)</f>
        <v>0</v>
      </c>
      <c r="BV38" s="47">
        <f>IF(U30 &lt;&gt; "", VLOOKUP(CONCATENATE("P", U30), pointsSystem, 4, FALSE), 0)</f>
        <v>0</v>
      </c>
      <c r="BW38" s="46">
        <f>IF(V30 &lt;&gt; "", VLOOKUP(CONCATENATE("P", V30), pointsSystem, 2, FALSE), 0)</f>
        <v>0</v>
      </c>
      <c r="BX38" s="6">
        <f>IF(W30 &lt;&gt; "", VLOOKUP(CONCATENATE("P", W30), pointsSystem, 3, FALSE), 0)</f>
        <v>0</v>
      </c>
      <c r="BY38" s="47">
        <f>IF(X30 &lt;&gt; "", VLOOKUP(CONCATENATE("P", X30), pointsSystem, 4, FALSE), 0)</f>
        <v>0</v>
      </c>
      <c r="BZ38" s="46">
        <f>IF(Y30 &lt;&gt; "", VLOOKUP(CONCATENATE("P", Y30), pointsSystem, 2, FALSE), 0)</f>
        <v>0</v>
      </c>
      <c r="CA38" s="6">
        <f>IF(Z30 &lt;&gt; "", VLOOKUP(CONCATENATE("P", Z30), pointsSystem, 3, FALSE), 0)</f>
        <v>0</v>
      </c>
      <c r="CB38" s="47">
        <f>IF(AA30 &lt;&gt; "", VLOOKUP(CONCATENATE("P", AA30), pointsSystem, 4, FALSE), 0)</f>
        <v>0</v>
      </c>
      <c r="CC38" s="46">
        <f>IF(AB30 &lt;&gt; "", VLOOKUP(CONCATENATE("P", AB30), pointsSystem, 2, FALSE), 0)</f>
        <v>0</v>
      </c>
      <c r="CD38" s="6">
        <f>IF(AC30 &lt;&gt; "", VLOOKUP(CONCATENATE("P", AC30), pointsSystem, 3, FALSE), 0)</f>
        <v>0</v>
      </c>
      <c r="CE38" s="47">
        <f>IF(AD30 &lt;&gt; "", VLOOKUP(CONCATENATE("P", AD30), pointsSystem, 4, FALSE), 0)</f>
        <v>0</v>
      </c>
      <c r="CF38" s="46">
        <f>IF(AE30 &lt;&gt; "", VLOOKUP(CONCATENATE("P", AE30), pointsSystem, 2, FALSE), 0)</f>
        <v>0</v>
      </c>
      <c r="CG38" s="6">
        <f>IF(AF30 &lt;&gt; "", VLOOKUP(CONCATENATE("P", AF30), pointsSystem, 3, FALSE), 0)</f>
        <v>0</v>
      </c>
      <c r="CH38" s="47">
        <f>IF(AG30 &lt;&gt; "", VLOOKUP(CONCATENATE("P", AG30), pointsSystem, 4, FALSE), 0)</f>
        <v>0</v>
      </c>
      <c r="CI38" s="46">
        <f>IF(AH30 &lt;&gt; "", VLOOKUP(CONCATENATE("P", AH30), pointsSystem, 2, FALSE), 0)</f>
        <v>0</v>
      </c>
      <c r="CJ38" s="6">
        <f>IF(AI30 &lt;&gt; "", VLOOKUP(CONCATENATE("P", AI30), pointsSystem, 3, FALSE), 0)</f>
        <v>0</v>
      </c>
      <c r="CK38" s="47">
        <f>IF(AJ30 &lt;&gt; "", VLOOKUP(CONCATENATE("P", AJ30), pointsSystem, 4, FALSE), 0)</f>
        <v>0</v>
      </c>
      <c r="CL38" s="46">
        <f>IF(AK30 &lt;&gt; "", VLOOKUP(CONCATENATE("P", AK30), pointsSystem, 2, FALSE), 0)</f>
        <v>0</v>
      </c>
      <c r="CM38" s="6">
        <f>IF(AL30 &lt;&gt; "", VLOOKUP(CONCATENATE("P", AL30), pointsSystem, 3, FALSE), 0)</f>
        <v>0</v>
      </c>
      <c r="CN38" s="47">
        <f>IF(AM30 &lt;&gt; "", VLOOKUP(CONCATENATE("P", AM30), pointsSystem, 4, FALSE), 0)</f>
        <v>0</v>
      </c>
      <c r="CO38" s="46">
        <f>IF(AN30 &lt;&gt; "", VLOOKUP(CONCATENATE("P", AN30), pointsSystem, 2, FALSE), 0)</f>
        <v>0</v>
      </c>
      <c r="CP38" s="6">
        <f>IF(AO30 &lt;&gt; "", VLOOKUP(CONCATENATE("P", AO30), pointsSystem, 3, FALSE), 0)</f>
        <v>0</v>
      </c>
      <c r="CQ38" s="47">
        <f>IF(AP30 &lt;&gt; "", VLOOKUP(CONCATENATE("P", AP30), pointsSystem, 4, FALSE), 0)</f>
        <v>0</v>
      </c>
      <c r="CR38" s="46">
        <f>IF(AQ30 &lt;&gt; "", VLOOKUP(CONCATENATE("P", AQ30), pointsSystem, 2, FALSE), 0)</f>
        <v>0</v>
      </c>
      <c r="CS38" s="6">
        <f>IF(AR30 &lt;&gt; "", VLOOKUP(CONCATENATE("P", AR30), pointsSystem, 3, FALSE), 0)</f>
        <v>0</v>
      </c>
      <c r="CT38" s="47">
        <f>IF(AS30 &lt;&gt; "", VLOOKUP(CONCATENATE("P", AS30), pointsSystem, 4, FALSE), 0)</f>
        <v>0</v>
      </c>
      <c r="CU38" s="46">
        <f>IF(AT30 &lt;&gt; "", VLOOKUP(CONCATENATE("P", AT30), pointsSystem, 2, FALSE), 0)</f>
        <v>0</v>
      </c>
      <c r="CV38" s="6">
        <f>IF(AU30 &lt;&gt; "", VLOOKUP(CONCATENATE("P", AU30), pointsSystem, 3, FALSE), 0)</f>
        <v>0</v>
      </c>
      <c r="CW38" s="47">
        <f>IF(AV30 &lt;&gt; "", VLOOKUP(CONCATENATE("P", AV30), pointsSystem, 4, FALSE), 0)</f>
        <v>0</v>
      </c>
      <c r="CX38" s="46">
        <f>IF(AW30 &lt;&gt; "", VLOOKUP(CONCATENATE("P", AW30), pointsSystem, 2, FALSE), 0)</f>
        <v>0</v>
      </c>
      <c r="CY38" s="6">
        <f>IF(AX30 &lt;&gt; "", VLOOKUP(CONCATENATE("P", AX30), pointsSystem, 3, FALSE), 0)</f>
        <v>0</v>
      </c>
      <c r="CZ38" s="47">
        <f>IF(AY30 &lt;&gt; "", VLOOKUP(CONCATENATE("P", AY30), pointsSystem, 4, FALSE), 0)</f>
        <v>0</v>
      </c>
      <c r="DA38" s="48">
        <f>AZ30 * 1</f>
        <v>0</v>
      </c>
    </row>
    <row r="39" spans="2:194" ht="16.8" customHeight="1" x14ac:dyDescent="0.3">
      <c r="B39" s="8" t="s">
        <v>131</v>
      </c>
      <c r="C39" s="35" t="s">
        <v>276</v>
      </c>
      <c r="D39" s="35" t="s">
        <v>340</v>
      </c>
      <c r="E39" s="35" t="s">
        <v>308</v>
      </c>
      <c r="F39" s="70" t="s">
        <v>34</v>
      </c>
      <c r="G39" s="75" t="s">
        <v>8</v>
      </c>
      <c r="H39" s="67" t="s">
        <v>13</v>
      </c>
      <c r="I39" s="11">
        <f>SUM(BN16:DA16)</f>
        <v>0</v>
      </c>
      <c r="L39" s="35" t="s">
        <v>340</v>
      </c>
      <c r="M39" s="15" t="s">
        <v>131</v>
      </c>
      <c r="N39" s="5" t="s">
        <v>131</v>
      </c>
      <c r="O39" s="16" t="s">
        <v>131</v>
      </c>
      <c r="P39" s="15" t="s">
        <v>131</v>
      </c>
      <c r="Q39" s="5" t="s">
        <v>131</v>
      </c>
      <c r="R39" s="16" t="s">
        <v>131</v>
      </c>
      <c r="S39" s="15" t="s">
        <v>131</v>
      </c>
      <c r="T39" s="5" t="s">
        <v>131</v>
      </c>
      <c r="U39" s="16" t="s">
        <v>131</v>
      </c>
      <c r="V39" s="15" t="s">
        <v>131</v>
      </c>
      <c r="W39" s="5" t="s">
        <v>131</v>
      </c>
      <c r="X39" s="16" t="s">
        <v>131</v>
      </c>
      <c r="Y39" s="15" t="s">
        <v>131</v>
      </c>
      <c r="Z39" s="5" t="s">
        <v>131</v>
      </c>
      <c r="AA39" s="16" t="s">
        <v>131</v>
      </c>
      <c r="AB39" s="15" t="s">
        <v>131</v>
      </c>
      <c r="AC39" s="5" t="s">
        <v>131</v>
      </c>
      <c r="AD39" s="16" t="s">
        <v>131</v>
      </c>
      <c r="AE39" s="15" t="s">
        <v>131</v>
      </c>
      <c r="AF39" s="5" t="s">
        <v>131</v>
      </c>
      <c r="AG39" s="16" t="s">
        <v>131</v>
      </c>
      <c r="AH39" s="15" t="s">
        <v>131</v>
      </c>
      <c r="AI39" s="5" t="s">
        <v>131</v>
      </c>
      <c r="AJ39" s="16" t="s">
        <v>131</v>
      </c>
      <c r="AK39" s="15" t="s">
        <v>131</v>
      </c>
      <c r="AL39" s="5" t="s">
        <v>131</v>
      </c>
      <c r="AM39" s="16" t="s">
        <v>131</v>
      </c>
      <c r="AN39" s="15" t="s">
        <v>131</v>
      </c>
      <c r="AO39" s="5" t="s">
        <v>131</v>
      </c>
      <c r="AP39" s="16" t="s">
        <v>131</v>
      </c>
      <c r="AQ39" s="15" t="s">
        <v>131</v>
      </c>
      <c r="AR39" s="5" t="s">
        <v>131</v>
      </c>
      <c r="AS39" s="16" t="s">
        <v>131</v>
      </c>
      <c r="AT39" s="15" t="s">
        <v>131</v>
      </c>
      <c r="AU39" s="5" t="s">
        <v>131</v>
      </c>
      <c r="AV39" s="16" t="s">
        <v>131</v>
      </c>
      <c r="AW39" s="15" t="s">
        <v>131</v>
      </c>
      <c r="AX39" s="5" t="s">
        <v>131</v>
      </c>
      <c r="AY39" s="16" t="s">
        <v>131</v>
      </c>
      <c r="AZ39" s="11"/>
      <c r="BC39" s="10">
        <f>1 + 10 + 25 + 15</f>
        <v>51</v>
      </c>
      <c r="BD39" s="180" t="s">
        <v>404</v>
      </c>
      <c r="BE39" s="182"/>
      <c r="BH39" s="69" t="s">
        <v>593</v>
      </c>
      <c r="BI39" s="66" t="s">
        <v>595</v>
      </c>
      <c r="BJ39" s="78" t="s">
        <v>599</v>
      </c>
      <c r="BM39" s="131" t="s">
        <v>323</v>
      </c>
      <c r="BN39" s="46">
        <f>IF(M31 &lt;&gt; "", VLOOKUP(CONCATENATE("P", M31), pointsSystem, 2, FALSE), 0)</f>
        <v>0</v>
      </c>
      <c r="BO39" s="6">
        <f>IF(N31 &lt;&gt; "", VLOOKUP(CONCATENATE("P", N31), pointsSystem, 3, FALSE), 0)</f>
        <v>0</v>
      </c>
      <c r="BP39" s="47">
        <f>IF(O31 &lt;&gt; "", VLOOKUP(CONCATENATE("P", O31), pointsSystem, 4, FALSE), 0)</f>
        <v>0</v>
      </c>
      <c r="BQ39" s="46">
        <f>IF(P31 &lt;&gt; "", VLOOKUP(CONCATENATE("P", P31), pointsSystem, 2, FALSE), 0)</f>
        <v>0</v>
      </c>
      <c r="BR39" s="6">
        <f>IF(Q31 &lt;&gt; "", VLOOKUP(CONCATENATE("P", Q31), pointsSystem, 3, FALSE), 0)</f>
        <v>0</v>
      </c>
      <c r="BS39" s="47">
        <f>IF(R31 &lt;&gt; "", VLOOKUP(CONCATENATE("P", R31), pointsSystem, 4, FALSE), 0)</f>
        <v>0</v>
      </c>
      <c r="BT39" s="46">
        <f>IF(S31 &lt;&gt; "", VLOOKUP(CONCATENATE("P", S31), pointsSystem, 2, FALSE), 0)</f>
        <v>0</v>
      </c>
      <c r="BU39" s="6">
        <f>IF(T31 &lt;&gt; "", VLOOKUP(CONCATENATE("P", T31), pointsSystem, 3, FALSE), 0)</f>
        <v>0</v>
      </c>
      <c r="BV39" s="47">
        <f>IF(U31 &lt;&gt; "", VLOOKUP(CONCATENATE("P", U31), pointsSystem, 4, FALSE), 0)</f>
        <v>0</v>
      </c>
      <c r="BW39" s="46">
        <f>IF(V31 &lt;&gt; "", VLOOKUP(CONCATENATE("P", V31), pointsSystem, 2, FALSE), 0)</f>
        <v>0</v>
      </c>
      <c r="BX39" s="6">
        <f>IF(W31 &lt;&gt; "", VLOOKUP(CONCATENATE("P", W31), pointsSystem, 3, FALSE), 0)</f>
        <v>0</v>
      </c>
      <c r="BY39" s="47">
        <f>IF(X31 &lt;&gt; "", VLOOKUP(CONCATENATE("P", X31), pointsSystem, 4, FALSE), 0)</f>
        <v>0</v>
      </c>
      <c r="BZ39" s="46">
        <f>IF(Y31 &lt;&gt; "", VLOOKUP(CONCATENATE("P", Y31), pointsSystem, 2, FALSE), 0)</f>
        <v>0</v>
      </c>
      <c r="CA39" s="6">
        <f>IF(Z31 &lt;&gt; "", VLOOKUP(CONCATENATE("P", Z31), pointsSystem, 3, FALSE), 0)</f>
        <v>0</v>
      </c>
      <c r="CB39" s="47">
        <f>IF(AA31 &lt;&gt; "", VLOOKUP(CONCATENATE("P", AA31), pointsSystem, 4, FALSE), 0)</f>
        <v>0</v>
      </c>
      <c r="CC39" s="46">
        <f>IF(AB31 &lt;&gt; "", VLOOKUP(CONCATENATE("P", AB31), pointsSystem, 2, FALSE), 0)</f>
        <v>0</v>
      </c>
      <c r="CD39" s="6">
        <f>IF(AC31 &lt;&gt; "", VLOOKUP(CONCATENATE("P", AC31), pointsSystem, 3, FALSE), 0)</f>
        <v>0</v>
      </c>
      <c r="CE39" s="47">
        <f>IF(AD31 &lt;&gt; "", VLOOKUP(CONCATENATE("P", AD31), pointsSystem, 4, FALSE), 0)</f>
        <v>0</v>
      </c>
      <c r="CF39" s="46">
        <f>IF(AE31 &lt;&gt; "", VLOOKUP(CONCATENATE("P", AE31), pointsSystem, 2, FALSE), 0)</f>
        <v>0</v>
      </c>
      <c r="CG39" s="6">
        <f>IF(AF31 &lt;&gt; "", VLOOKUP(CONCATENATE("P", AF31), pointsSystem, 3, FALSE), 0)</f>
        <v>0</v>
      </c>
      <c r="CH39" s="47">
        <f>IF(AG31 &lt;&gt; "", VLOOKUP(CONCATENATE("P", AG31), pointsSystem, 4, FALSE), 0)</f>
        <v>0</v>
      </c>
      <c r="CI39" s="46">
        <f>IF(AH31 &lt;&gt; "", VLOOKUP(CONCATENATE("P", AH31), pointsSystem, 2, FALSE), 0)</f>
        <v>0</v>
      </c>
      <c r="CJ39" s="6">
        <f>IF(AI31 &lt;&gt; "", VLOOKUP(CONCATENATE("P", AI31), pointsSystem, 3, FALSE), 0)</f>
        <v>0</v>
      </c>
      <c r="CK39" s="47">
        <f>IF(AJ31 &lt;&gt; "", VLOOKUP(CONCATENATE("P", AJ31), pointsSystem, 4, FALSE), 0)</f>
        <v>0</v>
      </c>
      <c r="CL39" s="46">
        <f>IF(AK31 &lt;&gt; "", VLOOKUP(CONCATENATE("P", AK31), pointsSystem, 2, FALSE), 0)</f>
        <v>0</v>
      </c>
      <c r="CM39" s="6">
        <f>IF(AL31 &lt;&gt; "", VLOOKUP(CONCATENATE("P", AL31), pointsSystem, 3, FALSE), 0)</f>
        <v>0</v>
      </c>
      <c r="CN39" s="47">
        <f>IF(AM31 &lt;&gt; "", VLOOKUP(CONCATENATE("P", AM31), pointsSystem, 4, FALSE), 0)</f>
        <v>0</v>
      </c>
      <c r="CO39" s="46">
        <f>IF(AN31 &lt;&gt; "", VLOOKUP(CONCATENATE("P", AN31), pointsSystem, 2, FALSE), 0)</f>
        <v>0</v>
      </c>
      <c r="CP39" s="6">
        <f>IF(AO31 &lt;&gt; "", VLOOKUP(CONCATENATE("P", AO31), pointsSystem, 3, FALSE), 0)</f>
        <v>0</v>
      </c>
      <c r="CQ39" s="47">
        <f>IF(AP31 &lt;&gt; "", VLOOKUP(CONCATENATE("P", AP31), pointsSystem, 4, FALSE), 0)</f>
        <v>0</v>
      </c>
      <c r="CR39" s="46">
        <f>IF(AQ31 &lt;&gt; "", VLOOKUP(CONCATENATE("P", AQ31), pointsSystem, 2, FALSE), 0)</f>
        <v>0</v>
      </c>
      <c r="CS39" s="6">
        <f>IF(AR31 &lt;&gt; "", VLOOKUP(CONCATENATE("P", AR31), pointsSystem, 3, FALSE), 0)</f>
        <v>0</v>
      </c>
      <c r="CT39" s="47">
        <f>IF(AS31 &lt;&gt; "", VLOOKUP(CONCATENATE("P", AS31), pointsSystem, 4, FALSE), 0)</f>
        <v>0</v>
      </c>
      <c r="CU39" s="46">
        <f>IF(AT31 &lt;&gt; "", VLOOKUP(CONCATENATE("P", AT31), pointsSystem, 2, FALSE), 0)</f>
        <v>0</v>
      </c>
      <c r="CV39" s="6">
        <f>IF(AU31 &lt;&gt; "", VLOOKUP(CONCATENATE("P", AU31), pointsSystem, 3, FALSE), 0)</f>
        <v>0</v>
      </c>
      <c r="CW39" s="47">
        <f>IF(AV31 &lt;&gt; "", VLOOKUP(CONCATENATE("P", AV31), pointsSystem, 4, FALSE), 0)</f>
        <v>0</v>
      </c>
      <c r="CX39" s="46">
        <f>IF(AW31 &lt;&gt; "", VLOOKUP(CONCATENATE("P", AW31), pointsSystem, 2, FALSE), 0)</f>
        <v>0</v>
      </c>
      <c r="CY39" s="6">
        <f>IF(AX31 &lt;&gt; "", VLOOKUP(CONCATENATE("P", AX31), pointsSystem, 3, FALSE), 0)</f>
        <v>0</v>
      </c>
      <c r="CZ39" s="47">
        <f>IF(AY31 &lt;&gt; "", VLOOKUP(CONCATENATE("P", AY31), pointsSystem, 4, FALSE), 0)</f>
        <v>0</v>
      </c>
      <c r="DA39" s="48">
        <f>AZ31 * 1</f>
        <v>0</v>
      </c>
    </row>
    <row r="40" spans="2:194" ht="16.8" customHeight="1" thickBot="1" x14ac:dyDescent="0.35">
      <c r="B40" s="8" t="s">
        <v>131</v>
      </c>
      <c r="C40" s="37" t="s">
        <v>225</v>
      </c>
      <c r="D40" s="37" t="s">
        <v>340</v>
      </c>
      <c r="E40" s="37" t="s">
        <v>334</v>
      </c>
      <c r="F40" s="71" t="s">
        <v>6</v>
      </c>
      <c r="G40" s="76" t="s">
        <v>10</v>
      </c>
      <c r="H40" s="72" t="s">
        <v>12</v>
      </c>
      <c r="I40" s="11">
        <f>SUM(BN20:DA20)</f>
        <v>0</v>
      </c>
      <c r="L40" s="37" t="s">
        <v>340</v>
      </c>
      <c r="M40" s="15" t="s">
        <v>131</v>
      </c>
      <c r="N40" s="5" t="s">
        <v>131</v>
      </c>
      <c r="O40" s="16" t="s">
        <v>131</v>
      </c>
      <c r="P40" s="15" t="s">
        <v>131</v>
      </c>
      <c r="Q40" s="5" t="s">
        <v>131</v>
      </c>
      <c r="R40" s="16" t="s">
        <v>131</v>
      </c>
      <c r="S40" s="15" t="s">
        <v>131</v>
      </c>
      <c r="T40" s="5" t="s">
        <v>131</v>
      </c>
      <c r="U40" s="16" t="s">
        <v>131</v>
      </c>
      <c r="V40" s="15" t="s">
        <v>131</v>
      </c>
      <c r="W40" s="5" t="s">
        <v>131</v>
      </c>
      <c r="X40" s="16" t="s">
        <v>131</v>
      </c>
      <c r="Y40" s="15" t="s">
        <v>131</v>
      </c>
      <c r="Z40" s="5" t="s">
        <v>131</v>
      </c>
      <c r="AA40" s="16" t="s">
        <v>131</v>
      </c>
      <c r="AB40" s="15" t="s">
        <v>131</v>
      </c>
      <c r="AC40" s="5" t="s">
        <v>131</v>
      </c>
      <c r="AD40" s="16" t="s">
        <v>131</v>
      </c>
      <c r="AE40" s="15" t="s">
        <v>131</v>
      </c>
      <c r="AF40" s="5" t="s">
        <v>131</v>
      </c>
      <c r="AG40" s="16" t="s">
        <v>131</v>
      </c>
      <c r="AH40" s="15" t="s">
        <v>131</v>
      </c>
      <c r="AI40" s="5" t="s">
        <v>131</v>
      </c>
      <c r="AJ40" s="16" t="s">
        <v>131</v>
      </c>
      <c r="AK40" s="15" t="s">
        <v>131</v>
      </c>
      <c r="AL40" s="5" t="s">
        <v>131</v>
      </c>
      <c r="AM40" s="16" t="s">
        <v>131</v>
      </c>
      <c r="AN40" s="15" t="s">
        <v>131</v>
      </c>
      <c r="AO40" s="5" t="s">
        <v>131</v>
      </c>
      <c r="AP40" s="16" t="s">
        <v>131</v>
      </c>
      <c r="AQ40" s="15" t="s">
        <v>131</v>
      </c>
      <c r="AR40" s="5" t="s">
        <v>131</v>
      </c>
      <c r="AS40" s="16" t="s">
        <v>131</v>
      </c>
      <c r="AT40" s="15" t="s">
        <v>131</v>
      </c>
      <c r="AU40" s="5" t="s">
        <v>131</v>
      </c>
      <c r="AV40" s="16" t="s">
        <v>131</v>
      </c>
      <c r="AW40" s="15" t="s">
        <v>131</v>
      </c>
      <c r="AX40" s="5" t="s">
        <v>131</v>
      </c>
      <c r="AY40" s="16" t="s">
        <v>131</v>
      </c>
      <c r="AZ40" s="11"/>
      <c r="BC40" s="12">
        <f>BC39 + (8 + 18 + 12)</f>
        <v>89</v>
      </c>
      <c r="BD40" s="171" t="s">
        <v>581</v>
      </c>
      <c r="BE40" s="173"/>
      <c r="BH40" s="69" t="s">
        <v>593</v>
      </c>
      <c r="BI40" s="66" t="s">
        <v>595</v>
      </c>
      <c r="BJ40" s="78" t="s">
        <v>599</v>
      </c>
      <c r="BM40" s="131" t="s">
        <v>340</v>
      </c>
      <c r="BN40" s="46">
        <f>IF(M45 &lt;&gt; "", VLOOKUP(CONCATENATE("P", M45), pointsSystem, 2, FALSE), 0)</f>
        <v>0</v>
      </c>
      <c r="BO40" s="6">
        <f>IF(N45 &lt;&gt; "", VLOOKUP(CONCATENATE("P", N45), pointsSystem, 3, FALSE), 0)</f>
        <v>0</v>
      </c>
      <c r="BP40" s="47">
        <f>IF(O45 &lt;&gt; "", VLOOKUP(CONCATENATE("P", O45), pointsSystem, 4, FALSE), 0)</f>
        <v>0</v>
      </c>
      <c r="BQ40" s="46">
        <f>IF(P45 &lt;&gt; "", VLOOKUP(CONCATENATE("P", P45), pointsSystem, 2, FALSE), 0)</f>
        <v>0</v>
      </c>
      <c r="BR40" s="6">
        <f>IF(Q45 &lt;&gt; "", VLOOKUP(CONCATENATE("P", Q45), pointsSystem, 3, FALSE), 0)</f>
        <v>0</v>
      </c>
      <c r="BS40" s="47">
        <f>IF(R45 &lt;&gt; "", VLOOKUP(CONCATENATE("P", R45), pointsSystem, 4, FALSE), 0)</f>
        <v>0</v>
      </c>
      <c r="BT40" s="46">
        <f>IF(S45 &lt;&gt; "", VLOOKUP(CONCATENATE("P", S45), pointsSystem, 2, FALSE), 0)</f>
        <v>0</v>
      </c>
      <c r="BU40" s="6">
        <f>IF(T45 &lt;&gt; "", VLOOKUP(CONCATENATE("P", T45), pointsSystem, 3, FALSE), 0)</f>
        <v>0</v>
      </c>
      <c r="BV40" s="47">
        <f>IF(U45 &lt;&gt; "", VLOOKUP(CONCATENATE("P", U45), pointsSystem, 4, FALSE), 0)</f>
        <v>0</v>
      </c>
      <c r="BW40" s="46">
        <f>IF(V45 &lt;&gt; "", VLOOKUP(CONCATENATE("P", V45), pointsSystem, 2, FALSE), 0)</f>
        <v>0</v>
      </c>
      <c r="BX40" s="6">
        <f>IF(W45 &lt;&gt; "", VLOOKUP(CONCATENATE("P", W45), pointsSystem, 3, FALSE), 0)</f>
        <v>0</v>
      </c>
      <c r="BY40" s="47">
        <f>IF(X45 &lt;&gt; "", VLOOKUP(CONCATENATE("P", X45), pointsSystem, 4, FALSE), 0)</f>
        <v>0</v>
      </c>
      <c r="BZ40" s="46">
        <f>IF(Y45 &lt;&gt; "", VLOOKUP(CONCATENATE("P", Y45), pointsSystem, 2, FALSE), 0)</f>
        <v>0</v>
      </c>
      <c r="CA40" s="6">
        <f>IF(Z45 &lt;&gt; "", VLOOKUP(CONCATENATE("P", Z45), pointsSystem, 3, FALSE), 0)</f>
        <v>0</v>
      </c>
      <c r="CB40" s="47">
        <f>IF(AA45 &lt;&gt; "", VLOOKUP(CONCATENATE("P", AA45), pointsSystem, 4, FALSE), 0)</f>
        <v>0</v>
      </c>
      <c r="CC40" s="46">
        <f>IF(AB45 &lt;&gt; "", VLOOKUP(CONCATENATE("P", AB45), pointsSystem, 2, FALSE), 0)</f>
        <v>0</v>
      </c>
      <c r="CD40" s="6">
        <f>IF(AC45 &lt;&gt; "", VLOOKUP(CONCATENATE("P", AC45), pointsSystem, 3, FALSE), 0)</f>
        <v>0</v>
      </c>
      <c r="CE40" s="47">
        <f>IF(AD45 &lt;&gt; "", VLOOKUP(CONCATENATE("P", AD45), pointsSystem, 4, FALSE), 0)</f>
        <v>0</v>
      </c>
      <c r="CF40" s="46">
        <f>IF(AE45 &lt;&gt; "", VLOOKUP(CONCATENATE("P", AE45), pointsSystem, 2, FALSE), 0)</f>
        <v>0</v>
      </c>
      <c r="CG40" s="6">
        <f>IF(AF45 &lt;&gt; "", VLOOKUP(CONCATENATE("P", AF45), pointsSystem, 3, FALSE), 0)</f>
        <v>0</v>
      </c>
      <c r="CH40" s="47">
        <f>IF(AG45 &lt;&gt; "", VLOOKUP(CONCATENATE("P", AG45), pointsSystem, 4, FALSE), 0)</f>
        <v>0</v>
      </c>
      <c r="CI40" s="46">
        <f>IF(AH45 &lt;&gt; "", VLOOKUP(CONCATENATE("P", AH45), pointsSystem, 2, FALSE), 0)</f>
        <v>0</v>
      </c>
      <c r="CJ40" s="6">
        <f>IF(AI45 &lt;&gt; "", VLOOKUP(CONCATENATE("P", AI45), pointsSystem, 3, FALSE), 0)</f>
        <v>0</v>
      </c>
      <c r="CK40" s="47">
        <f>IF(AJ45 &lt;&gt; "", VLOOKUP(CONCATENATE("P", AJ45), pointsSystem, 4, FALSE), 0)</f>
        <v>0</v>
      </c>
      <c r="CL40" s="46">
        <f>IF(AK45 &lt;&gt; "", VLOOKUP(CONCATENATE("P", AK45), pointsSystem, 2, FALSE), 0)</f>
        <v>0</v>
      </c>
      <c r="CM40" s="6">
        <f>IF(AL45 &lt;&gt; "", VLOOKUP(CONCATENATE("P", AL45), pointsSystem, 3, FALSE), 0)</f>
        <v>0</v>
      </c>
      <c r="CN40" s="47">
        <f>IF(AM45 &lt;&gt; "", VLOOKUP(CONCATENATE("P", AM45), pointsSystem, 4, FALSE), 0)</f>
        <v>0</v>
      </c>
      <c r="CO40" s="46">
        <f>IF(AN45 &lt;&gt; "", VLOOKUP(CONCATENATE("P", AN45), pointsSystem, 2, FALSE), 0)</f>
        <v>0</v>
      </c>
      <c r="CP40" s="6">
        <f>IF(AO45 &lt;&gt; "", VLOOKUP(CONCATENATE("P", AO45), pointsSystem, 3, FALSE), 0)</f>
        <v>0</v>
      </c>
      <c r="CQ40" s="47">
        <f>IF(AP45 &lt;&gt; "", VLOOKUP(CONCATENATE("P", AP45), pointsSystem, 4, FALSE), 0)</f>
        <v>0</v>
      </c>
      <c r="CR40" s="46">
        <f>IF(AQ45 &lt;&gt; "", VLOOKUP(CONCATENATE("P", AQ45), pointsSystem, 2, FALSE), 0)</f>
        <v>0</v>
      </c>
      <c r="CS40" s="6">
        <f>IF(AR45 &lt;&gt; "", VLOOKUP(CONCATENATE("P", AR45), pointsSystem, 3, FALSE), 0)</f>
        <v>0</v>
      </c>
      <c r="CT40" s="47">
        <f>IF(AS45 &lt;&gt; "", VLOOKUP(CONCATENATE("P", AS45), pointsSystem, 4, FALSE), 0)</f>
        <v>0</v>
      </c>
      <c r="CU40" s="46">
        <f>IF(AT45 &lt;&gt; "", VLOOKUP(CONCATENATE("P", AT45), pointsSystem, 2, FALSE), 0)</f>
        <v>0</v>
      </c>
      <c r="CV40" s="6">
        <f>IF(AU45 &lt;&gt; "", VLOOKUP(CONCATENATE("P", AU45), pointsSystem, 3, FALSE), 0)</f>
        <v>0</v>
      </c>
      <c r="CW40" s="47">
        <f>IF(AV45 &lt;&gt; "", VLOOKUP(CONCATENATE("P", AV45), pointsSystem, 4, FALSE), 0)</f>
        <v>0</v>
      </c>
      <c r="CX40" s="46">
        <f>IF(AW45 &lt;&gt; "", VLOOKUP(CONCATENATE("P", AW45), pointsSystem, 2, FALSE), 0)</f>
        <v>0</v>
      </c>
      <c r="CY40" s="6">
        <f>IF(AX45 &lt;&gt; "", VLOOKUP(CONCATENATE("P", AX45), pointsSystem, 3, FALSE), 0)</f>
        <v>0</v>
      </c>
      <c r="CZ40" s="47">
        <f>IF(AY45 &lt;&gt; "", VLOOKUP(CONCATENATE("P", AY45), pointsSystem, 4, FALSE), 0)</f>
        <v>0</v>
      </c>
      <c r="DA40" s="48">
        <f>AZ45 * 1</f>
        <v>0</v>
      </c>
    </row>
    <row r="41" spans="2:194" ht="16.8" customHeight="1" x14ac:dyDescent="0.3">
      <c r="B41" s="8" t="s">
        <v>131</v>
      </c>
      <c r="C41" s="40" t="s">
        <v>243</v>
      </c>
      <c r="D41" s="40" t="s">
        <v>340</v>
      </c>
      <c r="E41" s="40" t="s">
        <v>325</v>
      </c>
      <c r="F41" s="69" t="s">
        <v>5</v>
      </c>
      <c r="G41" s="74" t="s">
        <v>9</v>
      </c>
      <c r="H41" s="72" t="s">
        <v>12</v>
      </c>
      <c r="I41" s="11">
        <f>SUM(BN24:DA24)</f>
        <v>0</v>
      </c>
      <c r="L41" s="40" t="s">
        <v>340</v>
      </c>
      <c r="M41" s="15" t="s">
        <v>131</v>
      </c>
      <c r="N41" s="5" t="s">
        <v>131</v>
      </c>
      <c r="O41" s="16" t="s">
        <v>131</v>
      </c>
      <c r="P41" s="15" t="s">
        <v>131</v>
      </c>
      <c r="Q41" s="5" t="s">
        <v>131</v>
      </c>
      <c r="R41" s="16" t="s">
        <v>131</v>
      </c>
      <c r="S41" s="15" t="s">
        <v>131</v>
      </c>
      <c r="T41" s="5" t="s">
        <v>131</v>
      </c>
      <c r="U41" s="16" t="s">
        <v>131</v>
      </c>
      <c r="V41" s="15" t="s">
        <v>131</v>
      </c>
      <c r="W41" s="5" t="s">
        <v>131</v>
      </c>
      <c r="X41" s="16" t="s">
        <v>131</v>
      </c>
      <c r="Y41" s="15" t="s">
        <v>131</v>
      </c>
      <c r="Z41" s="5" t="s">
        <v>131</v>
      </c>
      <c r="AA41" s="16" t="s">
        <v>131</v>
      </c>
      <c r="AB41" s="15" t="s">
        <v>131</v>
      </c>
      <c r="AC41" s="5" t="s">
        <v>131</v>
      </c>
      <c r="AD41" s="16" t="s">
        <v>131</v>
      </c>
      <c r="AE41" s="15" t="s">
        <v>131</v>
      </c>
      <c r="AF41" s="5" t="s">
        <v>131</v>
      </c>
      <c r="AG41" s="16" t="s">
        <v>131</v>
      </c>
      <c r="AH41" s="15" t="s">
        <v>131</v>
      </c>
      <c r="AI41" s="5" t="s">
        <v>131</v>
      </c>
      <c r="AJ41" s="16" t="s">
        <v>131</v>
      </c>
      <c r="AK41" s="15" t="s">
        <v>131</v>
      </c>
      <c r="AL41" s="5" t="s">
        <v>131</v>
      </c>
      <c r="AM41" s="16" t="s">
        <v>131</v>
      </c>
      <c r="AN41" s="15" t="s">
        <v>131</v>
      </c>
      <c r="AO41" s="5" t="s">
        <v>131</v>
      </c>
      <c r="AP41" s="16" t="s">
        <v>131</v>
      </c>
      <c r="AQ41" s="15" t="s">
        <v>131</v>
      </c>
      <c r="AR41" s="5" t="s">
        <v>131</v>
      </c>
      <c r="AS41" s="16" t="s">
        <v>131</v>
      </c>
      <c r="AT41" s="15" t="s">
        <v>131</v>
      </c>
      <c r="AU41" s="5" t="s">
        <v>131</v>
      </c>
      <c r="AV41" s="16" t="s">
        <v>131</v>
      </c>
      <c r="AW41" s="15" t="s">
        <v>131</v>
      </c>
      <c r="AX41" s="5" t="s">
        <v>131</v>
      </c>
      <c r="AY41" s="16" t="s">
        <v>131</v>
      </c>
      <c r="AZ41" s="11"/>
      <c r="BH41" s="72" t="s">
        <v>598</v>
      </c>
      <c r="BI41" s="76" t="s">
        <v>596</v>
      </c>
      <c r="BJ41" s="67" t="s">
        <v>596</v>
      </c>
      <c r="BM41" s="139" t="s">
        <v>431</v>
      </c>
      <c r="BN41" s="46">
        <f>IF(M32 &lt;&gt; "", VLOOKUP(CONCATENATE("P", M32), pointsSystem, 2, FALSE), 0)</f>
        <v>0</v>
      </c>
      <c r="BO41" s="6">
        <f>IF(N32 &lt;&gt; "", VLOOKUP(CONCATENATE("P", N32), pointsSystem, 3, FALSE), 0)</f>
        <v>0</v>
      </c>
      <c r="BP41" s="47">
        <f>IF(O32 &lt;&gt; "", VLOOKUP(CONCATENATE("P", O32), pointsSystem, 4, FALSE), 0)</f>
        <v>0</v>
      </c>
      <c r="BQ41" s="46">
        <f>IF(P32 &lt;&gt; "", VLOOKUP(CONCATENATE("P", P32), pointsSystem, 2, FALSE), 0)</f>
        <v>0</v>
      </c>
      <c r="BR41" s="6">
        <f>IF(Q32 &lt;&gt; "", VLOOKUP(CONCATENATE("P", Q32), pointsSystem, 3, FALSE), 0)</f>
        <v>0</v>
      </c>
      <c r="BS41" s="47">
        <f>IF(R32 &lt;&gt; "", VLOOKUP(CONCATENATE("P", R32), pointsSystem, 4, FALSE), 0)</f>
        <v>0</v>
      </c>
      <c r="BT41" s="46">
        <f>IF(S32 &lt;&gt; "", VLOOKUP(CONCATENATE("P", S32), pointsSystem, 2, FALSE), 0)</f>
        <v>0</v>
      </c>
      <c r="BU41" s="6">
        <f>IF(T32 &lt;&gt; "", VLOOKUP(CONCATENATE("P", T32), pointsSystem, 3, FALSE), 0)</f>
        <v>0</v>
      </c>
      <c r="BV41" s="47">
        <f>IF(U32 &lt;&gt; "", VLOOKUP(CONCATENATE("P", U32), pointsSystem, 4, FALSE), 0)</f>
        <v>0</v>
      </c>
      <c r="BW41" s="46">
        <f>IF(V32 &lt;&gt; "", VLOOKUP(CONCATENATE("P", V32), pointsSystem, 2, FALSE), 0)</f>
        <v>0</v>
      </c>
      <c r="BX41" s="6">
        <f>IF(W32 &lt;&gt; "", VLOOKUP(CONCATENATE("P", W32), pointsSystem, 3, FALSE), 0)</f>
        <v>0</v>
      </c>
      <c r="BY41" s="47">
        <f>IF(X32 &lt;&gt; "", VLOOKUP(CONCATENATE("P", X32), pointsSystem, 4, FALSE), 0)</f>
        <v>0</v>
      </c>
      <c r="BZ41" s="46">
        <f>IF(Y32 &lt;&gt; "", VLOOKUP(CONCATENATE("P", Y32), pointsSystem, 2, FALSE), 0)</f>
        <v>0</v>
      </c>
      <c r="CA41" s="6">
        <f>IF(Z32 &lt;&gt; "", VLOOKUP(CONCATENATE("P", Z32), pointsSystem, 3, FALSE), 0)</f>
        <v>0</v>
      </c>
      <c r="CB41" s="47">
        <f>IF(AA32 &lt;&gt; "", VLOOKUP(CONCATENATE("P", AA32), pointsSystem, 4, FALSE), 0)</f>
        <v>0</v>
      </c>
      <c r="CC41" s="46">
        <f>IF(AB32 &lt;&gt; "", VLOOKUP(CONCATENATE("P", AB32), pointsSystem, 2, FALSE), 0)</f>
        <v>0</v>
      </c>
      <c r="CD41" s="6">
        <f>IF(AC32 &lt;&gt; "", VLOOKUP(CONCATENATE("P", AC32), pointsSystem, 3, FALSE), 0)</f>
        <v>0</v>
      </c>
      <c r="CE41" s="47">
        <f>IF(AD32 &lt;&gt; "", VLOOKUP(CONCATENATE("P", AD32), pointsSystem, 4, FALSE), 0)</f>
        <v>0</v>
      </c>
      <c r="CF41" s="46">
        <f>IF(AE32 &lt;&gt; "", VLOOKUP(CONCATENATE("P", AE32), pointsSystem, 2, FALSE), 0)</f>
        <v>0</v>
      </c>
      <c r="CG41" s="6">
        <f>IF(AF32 &lt;&gt; "", VLOOKUP(CONCATENATE("P", AF32), pointsSystem, 3, FALSE), 0)</f>
        <v>0</v>
      </c>
      <c r="CH41" s="47">
        <f>IF(AG32 &lt;&gt; "", VLOOKUP(CONCATENATE("P", AG32), pointsSystem, 4, FALSE), 0)</f>
        <v>0</v>
      </c>
      <c r="CI41" s="46">
        <f>IF(AH32 &lt;&gt; "", VLOOKUP(CONCATENATE("P", AH32), pointsSystem, 2, FALSE), 0)</f>
        <v>0</v>
      </c>
      <c r="CJ41" s="6">
        <f>IF(AI32 &lt;&gt; "", VLOOKUP(CONCATENATE("P", AI32), pointsSystem, 3, FALSE), 0)</f>
        <v>0</v>
      </c>
      <c r="CK41" s="47">
        <f>IF(AJ32 &lt;&gt; "", VLOOKUP(CONCATENATE("P", AJ32), pointsSystem, 4, FALSE), 0)</f>
        <v>0</v>
      </c>
      <c r="CL41" s="46">
        <f>IF(AK32 &lt;&gt; "", VLOOKUP(CONCATENATE("P", AK32), pointsSystem, 2, FALSE), 0)</f>
        <v>0</v>
      </c>
      <c r="CM41" s="6">
        <f>IF(AL32 &lt;&gt; "", VLOOKUP(CONCATENATE("P", AL32), pointsSystem, 3, FALSE), 0)</f>
        <v>0</v>
      </c>
      <c r="CN41" s="47">
        <f>IF(AM32 &lt;&gt; "", VLOOKUP(CONCATENATE("P", AM32), pointsSystem, 4, FALSE), 0)</f>
        <v>0</v>
      </c>
      <c r="CO41" s="46">
        <f>IF(AN32 &lt;&gt; "", VLOOKUP(CONCATENATE("P", AN32), pointsSystem, 2, FALSE), 0)</f>
        <v>0</v>
      </c>
      <c r="CP41" s="6">
        <f>IF(AO32 &lt;&gt; "", VLOOKUP(CONCATENATE("P", AO32), pointsSystem, 3, FALSE), 0)</f>
        <v>0</v>
      </c>
      <c r="CQ41" s="47">
        <f>IF(AP32 &lt;&gt; "", VLOOKUP(CONCATENATE("P", AP32), pointsSystem, 4, FALSE), 0)</f>
        <v>0</v>
      </c>
      <c r="CR41" s="46">
        <f>IF(AQ32 &lt;&gt; "", VLOOKUP(CONCATENATE("P", AQ32), pointsSystem, 2, FALSE), 0)</f>
        <v>0</v>
      </c>
      <c r="CS41" s="6">
        <f>IF(AR32 &lt;&gt; "", VLOOKUP(CONCATENATE("P", AR32), pointsSystem, 3, FALSE), 0)</f>
        <v>0</v>
      </c>
      <c r="CT41" s="47">
        <f>IF(AS32 &lt;&gt; "", VLOOKUP(CONCATENATE("P", AS32), pointsSystem, 4, FALSE), 0)</f>
        <v>0</v>
      </c>
      <c r="CU41" s="46">
        <f>IF(AT32 &lt;&gt; "", VLOOKUP(CONCATENATE("P", AT32), pointsSystem, 2, FALSE), 0)</f>
        <v>0</v>
      </c>
      <c r="CV41" s="6">
        <f>IF(AU32 &lt;&gt; "", VLOOKUP(CONCATENATE("P", AU32), pointsSystem, 3, FALSE), 0)</f>
        <v>0</v>
      </c>
      <c r="CW41" s="47">
        <f>IF(AV32 &lt;&gt; "", VLOOKUP(CONCATENATE("P", AV32), pointsSystem, 4, FALSE), 0)</f>
        <v>0</v>
      </c>
      <c r="CX41" s="46">
        <f>IF(AW32 &lt;&gt; "", VLOOKUP(CONCATENATE("P", AW32), pointsSystem, 2, FALSE), 0)</f>
        <v>0</v>
      </c>
      <c r="CY41" s="6">
        <f>IF(AX32 &lt;&gt; "", VLOOKUP(CONCATENATE("P", AX32), pointsSystem, 3, FALSE), 0)</f>
        <v>0</v>
      </c>
      <c r="CZ41" s="47">
        <f>IF(AY32 &lt;&gt; "", VLOOKUP(CONCATENATE("P", AY32), pointsSystem, 4, FALSE), 0)</f>
        <v>0</v>
      </c>
      <c r="DA41" s="48">
        <f>AZ32 * 1</f>
        <v>0</v>
      </c>
    </row>
    <row r="42" spans="2:194" ht="16.8" customHeight="1" x14ac:dyDescent="0.3">
      <c r="B42" s="8" t="s">
        <v>131</v>
      </c>
      <c r="C42" s="36" t="s">
        <v>259</v>
      </c>
      <c r="D42" s="36" t="s">
        <v>340</v>
      </c>
      <c r="E42" s="36" t="s">
        <v>339</v>
      </c>
      <c r="F42" s="71" t="s">
        <v>6</v>
      </c>
      <c r="G42" s="75" t="s">
        <v>8</v>
      </c>
      <c r="H42" s="72" t="s">
        <v>12</v>
      </c>
      <c r="I42" s="11">
        <f>SUM(BN28:DA28)</f>
        <v>0</v>
      </c>
      <c r="L42" s="36" t="s">
        <v>340</v>
      </c>
      <c r="M42" s="15" t="s">
        <v>131</v>
      </c>
      <c r="N42" s="5" t="s">
        <v>131</v>
      </c>
      <c r="O42" s="16" t="s">
        <v>131</v>
      </c>
      <c r="P42" s="15" t="s">
        <v>131</v>
      </c>
      <c r="Q42" s="5" t="s">
        <v>131</v>
      </c>
      <c r="R42" s="16" t="s">
        <v>131</v>
      </c>
      <c r="S42" s="15" t="s">
        <v>131</v>
      </c>
      <c r="T42" s="5" t="s">
        <v>131</v>
      </c>
      <c r="U42" s="16" t="s">
        <v>131</v>
      </c>
      <c r="V42" s="15" t="s">
        <v>131</v>
      </c>
      <c r="W42" s="5" t="s">
        <v>131</v>
      </c>
      <c r="X42" s="16" t="s">
        <v>131</v>
      </c>
      <c r="Y42" s="15" t="s">
        <v>131</v>
      </c>
      <c r="Z42" s="5" t="s">
        <v>131</v>
      </c>
      <c r="AA42" s="16" t="s">
        <v>131</v>
      </c>
      <c r="AB42" s="15" t="s">
        <v>131</v>
      </c>
      <c r="AC42" s="5" t="s">
        <v>131</v>
      </c>
      <c r="AD42" s="16" t="s">
        <v>131</v>
      </c>
      <c r="AE42" s="15" t="s">
        <v>131</v>
      </c>
      <c r="AF42" s="5" t="s">
        <v>131</v>
      </c>
      <c r="AG42" s="16" t="s">
        <v>131</v>
      </c>
      <c r="AH42" s="15" t="s">
        <v>131</v>
      </c>
      <c r="AI42" s="5" t="s">
        <v>131</v>
      </c>
      <c r="AJ42" s="16" t="s">
        <v>131</v>
      </c>
      <c r="AK42" s="15" t="s">
        <v>131</v>
      </c>
      <c r="AL42" s="5" t="s">
        <v>131</v>
      </c>
      <c r="AM42" s="16" t="s">
        <v>131</v>
      </c>
      <c r="AN42" s="15" t="s">
        <v>131</v>
      </c>
      <c r="AO42" s="5" t="s">
        <v>131</v>
      </c>
      <c r="AP42" s="16" t="s">
        <v>131</v>
      </c>
      <c r="AQ42" s="15" t="s">
        <v>131</v>
      </c>
      <c r="AR42" s="5" t="s">
        <v>131</v>
      </c>
      <c r="AS42" s="16" t="s">
        <v>131</v>
      </c>
      <c r="AT42" s="15" t="s">
        <v>131</v>
      </c>
      <c r="AU42" s="5" t="s">
        <v>131</v>
      </c>
      <c r="AV42" s="16" t="s">
        <v>131</v>
      </c>
      <c r="AW42" s="15" t="s">
        <v>131</v>
      </c>
      <c r="AX42" s="5" t="s">
        <v>131</v>
      </c>
      <c r="AY42" s="16" t="s">
        <v>131</v>
      </c>
      <c r="AZ42" s="11"/>
      <c r="BH42" s="72" t="s">
        <v>598</v>
      </c>
      <c r="BI42" s="76" t="s">
        <v>596</v>
      </c>
      <c r="BJ42" s="67" t="s">
        <v>596</v>
      </c>
      <c r="BM42" s="139" t="s">
        <v>432</v>
      </c>
      <c r="BN42" s="46">
        <f>IF(M33 &lt;&gt; "", VLOOKUP(CONCATENATE("P", M33), pointsSystem, 2, FALSE), 0)</f>
        <v>0</v>
      </c>
      <c r="BO42" s="6">
        <f>IF(N33 &lt;&gt; "", VLOOKUP(CONCATENATE("P", N33), pointsSystem, 3, FALSE), 0)</f>
        <v>0</v>
      </c>
      <c r="BP42" s="47">
        <f>IF(O33 &lt;&gt; "", VLOOKUP(CONCATENATE("P", O33), pointsSystem, 4, FALSE), 0)</f>
        <v>0</v>
      </c>
      <c r="BQ42" s="46">
        <f>IF(P33 &lt;&gt; "", VLOOKUP(CONCATENATE("P", P33), pointsSystem, 2, FALSE), 0)</f>
        <v>0</v>
      </c>
      <c r="BR42" s="6">
        <f>IF(Q33 &lt;&gt; "", VLOOKUP(CONCATENATE("P", Q33), pointsSystem, 3, FALSE), 0)</f>
        <v>0</v>
      </c>
      <c r="BS42" s="47">
        <f>IF(R33 &lt;&gt; "", VLOOKUP(CONCATENATE("P", R33), pointsSystem, 4, FALSE), 0)</f>
        <v>0</v>
      </c>
      <c r="BT42" s="46">
        <f>IF(S33 &lt;&gt; "", VLOOKUP(CONCATENATE("P", S33), pointsSystem, 2, FALSE), 0)</f>
        <v>0</v>
      </c>
      <c r="BU42" s="6">
        <f>IF(T33 &lt;&gt; "", VLOOKUP(CONCATENATE("P", T33), pointsSystem, 3, FALSE), 0)</f>
        <v>0</v>
      </c>
      <c r="BV42" s="47">
        <f>IF(U33 &lt;&gt; "", VLOOKUP(CONCATENATE("P", U33), pointsSystem, 4, FALSE), 0)</f>
        <v>0</v>
      </c>
      <c r="BW42" s="46">
        <f>IF(V33 &lt;&gt; "", VLOOKUP(CONCATENATE("P", V33), pointsSystem, 2, FALSE), 0)</f>
        <v>0</v>
      </c>
      <c r="BX42" s="6">
        <f>IF(W33 &lt;&gt; "", VLOOKUP(CONCATENATE("P", W33), pointsSystem, 3, FALSE), 0)</f>
        <v>0</v>
      </c>
      <c r="BY42" s="47">
        <f>IF(X33 &lt;&gt; "", VLOOKUP(CONCATENATE("P", X33), pointsSystem, 4, FALSE), 0)</f>
        <v>0</v>
      </c>
      <c r="BZ42" s="46">
        <f>IF(Y33 &lt;&gt; "", VLOOKUP(CONCATENATE("P", Y33), pointsSystem, 2, FALSE), 0)</f>
        <v>0</v>
      </c>
      <c r="CA42" s="6">
        <f>IF(Z33 &lt;&gt; "", VLOOKUP(CONCATENATE("P", Z33), pointsSystem, 3, FALSE), 0)</f>
        <v>0</v>
      </c>
      <c r="CB42" s="47">
        <f>IF(AA33 &lt;&gt; "", VLOOKUP(CONCATENATE("P", AA33), pointsSystem, 4, FALSE), 0)</f>
        <v>0</v>
      </c>
      <c r="CC42" s="46">
        <f>IF(AB33 &lt;&gt; "", VLOOKUP(CONCATENATE("P", AB33), pointsSystem, 2, FALSE), 0)</f>
        <v>0</v>
      </c>
      <c r="CD42" s="6">
        <f>IF(AC33 &lt;&gt; "", VLOOKUP(CONCATENATE("P", AC33), pointsSystem, 3, FALSE), 0)</f>
        <v>0</v>
      </c>
      <c r="CE42" s="47">
        <f>IF(AD33 &lt;&gt; "", VLOOKUP(CONCATENATE("P", AD33), pointsSystem, 4, FALSE), 0)</f>
        <v>0</v>
      </c>
      <c r="CF42" s="46">
        <f>IF(AE33 &lt;&gt; "", VLOOKUP(CONCATENATE("P", AE33), pointsSystem, 2, FALSE), 0)</f>
        <v>0</v>
      </c>
      <c r="CG42" s="6">
        <f>IF(AF33 &lt;&gt; "", VLOOKUP(CONCATENATE("P", AF33), pointsSystem, 3, FALSE), 0)</f>
        <v>0</v>
      </c>
      <c r="CH42" s="47">
        <f>IF(AG33 &lt;&gt; "", VLOOKUP(CONCATENATE("P", AG33), pointsSystem, 4, FALSE), 0)</f>
        <v>0</v>
      </c>
      <c r="CI42" s="46">
        <f>IF(AH33 &lt;&gt; "", VLOOKUP(CONCATENATE("P", AH33), pointsSystem, 2, FALSE), 0)</f>
        <v>0</v>
      </c>
      <c r="CJ42" s="6">
        <f>IF(AI33 &lt;&gt; "", VLOOKUP(CONCATENATE("P", AI33), pointsSystem, 3, FALSE), 0)</f>
        <v>0</v>
      </c>
      <c r="CK42" s="47">
        <f>IF(AJ33 &lt;&gt; "", VLOOKUP(CONCATENATE("P", AJ33), pointsSystem, 4, FALSE), 0)</f>
        <v>0</v>
      </c>
      <c r="CL42" s="46">
        <f>IF(AK33 &lt;&gt; "", VLOOKUP(CONCATENATE("P", AK33), pointsSystem, 2, FALSE), 0)</f>
        <v>0</v>
      </c>
      <c r="CM42" s="6">
        <f>IF(AL33 &lt;&gt; "", VLOOKUP(CONCATENATE("P", AL33), pointsSystem, 3, FALSE), 0)</f>
        <v>0</v>
      </c>
      <c r="CN42" s="47">
        <f>IF(AM33 &lt;&gt; "", VLOOKUP(CONCATENATE("P", AM33), pointsSystem, 4, FALSE), 0)</f>
        <v>0</v>
      </c>
      <c r="CO42" s="46">
        <f>IF(AN33 &lt;&gt; "", VLOOKUP(CONCATENATE("P", AN33), pointsSystem, 2, FALSE), 0)</f>
        <v>0</v>
      </c>
      <c r="CP42" s="6">
        <f>IF(AO33 &lt;&gt; "", VLOOKUP(CONCATENATE("P", AO33), pointsSystem, 3, FALSE), 0)</f>
        <v>0</v>
      </c>
      <c r="CQ42" s="47">
        <f>IF(AP33 &lt;&gt; "", VLOOKUP(CONCATENATE("P", AP33), pointsSystem, 4, FALSE), 0)</f>
        <v>0</v>
      </c>
      <c r="CR42" s="46">
        <f>IF(AQ33 &lt;&gt; "", VLOOKUP(CONCATENATE("P", AQ33), pointsSystem, 2, FALSE), 0)</f>
        <v>0</v>
      </c>
      <c r="CS42" s="6">
        <f>IF(AR33 &lt;&gt; "", VLOOKUP(CONCATENATE("P", AR33), pointsSystem, 3, FALSE), 0)</f>
        <v>0</v>
      </c>
      <c r="CT42" s="47">
        <f>IF(AS33 &lt;&gt; "", VLOOKUP(CONCATENATE("P", AS33), pointsSystem, 4, FALSE), 0)</f>
        <v>0</v>
      </c>
      <c r="CU42" s="46">
        <f>IF(AT33 &lt;&gt; "", VLOOKUP(CONCATENATE("P", AT33), pointsSystem, 2, FALSE), 0)</f>
        <v>0</v>
      </c>
      <c r="CV42" s="6">
        <f>IF(AU33 &lt;&gt; "", VLOOKUP(CONCATENATE("P", AU33), pointsSystem, 3, FALSE), 0)</f>
        <v>0</v>
      </c>
      <c r="CW42" s="47">
        <f>IF(AV33 &lt;&gt; "", VLOOKUP(CONCATENATE("P", AV33), pointsSystem, 4, FALSE), 0)</f>
        <v>0</v>
      </c>
      <c r="CX42" s="46">
        <f>IF(AW33 &lt;&gt; "", VLOOKUP(CONCATENATE("P", AW33), pointsSystem, 2, FALSE), 0)</f>
        <v>0</v>
      </c>
      <c r="CY42" s="6">
        <f>IF(AX33 &lt;&gt; "", VLOOKUP(CONCATENATE("P", AX33), pointsSystem, 3, FALSE), 0)</f>
        <v>0</v>
      </c>
      <c r="CZ42" s="47">
        <f>IF(AY33 &lt;&gt; "", VLOOKUP(CONCATENATE("P", AY33), pointsSystem, 4, FALSE), 0)</f>
        <v>0</v>
      </c>
      <c r="DA42" s="48">
        <f>AZ33 * 1</f>
        <v>0</v>
      </c>
    </row>
    <row r="43" spans="2:194" ht="16.8" customHeight="1" x14ac:dyDescent="0.3">
      <c r="B43" s="8" t="s">
        <v>131</v>
      </c>
      <c r="C43" s="41" t="s">
        <v>288</v>
      </c>
      <c r="D43" s="41" t="s">
        <v>340</v>
      </c>
      <c r="E43" s="41" t="s">
        <v>554</v>
      </c>
      <c r="F43" s="69" t="s">
        <v>5</v>
      </c>
      <c r="G43" s="66" t="s">
        <v>7</v>
      </c>
      <c r="H43" s="78" t="s">
        <v>11</v>
      </c>
      <c r="I43" s="11">
        <f>SUM(BN32:DA32)</f>
        <v>0</v>
      </c>
      <c r="L43" s="41" t="s">
        <v>340</v>
      </c>
      <c r="M43" s="15" t="s">
        <v>131</v>
      </c>
      <c r="N43" s="5" t="s">
        <v>131</v>
      </c>
      <c r="O43" s="16" t="s">
        <v>131</v>
      </c>
      <c r="P43" s="15" t="s">
        <v>131</v>
      </c>
      <c r="Q43" s="5" t="s">
        <v>131</v>
      </c>
      <c r="R43" s="16" t="s">
        <v>131</v>
      </c>
      <c r="S43" s="15" t="s">
        <v>131</v>
      </c>
      <c r="T43" s="5" t="s">
        <v>131</v>
      </c>
      <c r="U43" s="16" t="s">
        <v>131</v>
      </c>
      <c r="V43" s="15" t="s">
        <v>131</v>
      </c>
      <c r="W43" s="5" t="s">
        <v>131</v>
      </c>
      <c r="X43" s="16" t="s">
        <v>131</v>
      </c>
      <c r="Y43" s="15" t="s">
        <v>131</v>
      </c>
      <c r="Z43" s="5" t="s">
        <v>131</v>
      </c>
      <c r="AA43" s="16" t="s">
        <v>131</v>
      </c>
      <c r="AB43" s="15" t="s">
        <v>131</v>
      </c>
      <c r="AC43" s="5" t="s">
        <v>131</v>
      </c>
      <c r="AD43" s="16" t="s">
        <v>131</v>
      </c>
      <c r="AE43" s="15" t="s">
        <v>131</v>
      </c>
      <c r="AF43" s="5" t="s">
        <v>131</v>
      </c>
      <c r="AG43" s="16" t="s">
        <v>131</v>
      </c>
      <c r="AH43" s="15" t="s">
        <v>131</v>
      </c>
      <c r="AI43" s="5" t="s">
        <v>131</v>
      </c>
      <c r="AJ43" s="16" t="s">
        <v>131</v>
      </c>
      <c r="AK43" s="15" t="s">
        <v>131</v>
      </c>
      <c r="AL43" s="5" t="s">
        <v>131</v>
      </c>
      <c r="AM43" s="16" t="s">
        <v>131</v>
      </c>
      <c r="AN43" s="15" t="s">
        <v>131</v>
      </c>
      <c r="AO43" s="5" t="s">
        <v>131</v>
      </c>
      <c r="AP43" s="16" t="s">
        <v>131</v>
      </c>
      <c r="AQ43" s="15" t="s">
        <v>131</v>
      </c>
      <c r="AR43" s="5" t="s">
        <v>131</v>
      </c>
      <c r="AS43" s="16" t="s">
        <v>131</v>
      </c>
      <c r="AT43" s="15" t="s">
        <v>131</v>
      </c>
      <c r="AU43" s="5" t="s">
        <v>131</v>
      </c>
      <c r="AV43" s="16" t="s">
        <v>131</v>
      </c>
      <c r="AW43" s="15" t="s">
        <v>131</v>
      </c>
      <c r="AX43" s="5" t="s">
        <v>131</v>
      </c>
      <c r="AY43" s="16" t="s">
        <v>131</v>
      </c>
      <c r="AZ43" s="11"/>
      <c r="BH43" s="72" t="s">
        <v>598</v>
      </c>
      <c r="BI43" s="76" t="s">
        <v>596</v>
      </c>
      <c r="BJ43" s="67" t="s">
        <v>596</v>
      </c>
      <c r="BM43" s="139" t="s">
        <v>433</v>
      </c>
      <c r="BN43" s="46">
        <f>IF(M34 &lt;&gt; "", VLOOKUP(CONCATENATE("P", M34), pointsSystem, 2, FALSE), 0)</f>
        <v>0</v>
      </c>
      <c r="BO43" s="6">
        <f>IF(N34 &lt;&gt; "", VLOOKUP(CONCATENATE("P", N34), pointsSystem, 3, FALSE), 0)</f>
        <v>0</v>
      </c>
      <c r="BP43" s="47">
        <f>IF(O34 &lt;&gt; "", VLOOKUP(CONCATENATE("P", O34), pointsSystem, 4, FALSE), 0)</f>
        <v>0</v>
      </c>
      <c r="BQ43" s="46">
        <f>IF(P34 &lt;&gt; "", VLOOKUP(CONCATENATE("P", P34), pointsSystem, 2, FALSE), 0)</f>
        <v>0</v>
      </c>
      <c r="BR43" s="6">
        <f>IF(Q34 &lt;&gt; "", VLOOKUP(CONCATENATE("P", Q34), pointsSystem, 3, FALSE), 0)</f>
        <v>0</v>
      </c>
      <c r="BS43" s="47">
        <f>IF(R34 &lt;&gt; "", VLOOKUP(CONCATENATE("P", R34), pointsSystem, 4, FALSE), 0)</f>
        <v>0</v>
      </c>
      <c r="BT43" s="46">
        <f>IF(S34 &lt;&gt; "", VLOOKUP(CONCATENATE("P", S34), pointsSystem, 2, FALSE), 0)</f>
        <v>0</v>
      </c>
      <c r="BU43" s="6">
        <f>IF(T34 &lt;&gt; "", VLOOKUP(CONCATENATE("P", T34), pointsSystem, 3, FALSE), 0)</f>
        <v>0</v>
      </c>
      <c r="BV43" s="47">
        <f>IF(U34 &lt;&gt; "", VLOOKUP(CONCATENATE("P", U34), pointsSystem, 4, FALSE), 0)</f>
        <v>0</v>
      </c>
      <c r="BW43" s="46">
        <f>IF(V34 &lt;&gt; "", VLOOKUP(CONCATENATE("P", V34), pointsSystem, 2, FALSE), 0)</f>
        <v>0</v>
      </c>
      <c r="BX43" s="6">
        <f>IF(W34 &lt;&gt; "", VLOOKUP(CONCATENATE("P", W34), pointsSystem, 3, FALSE), 0)</f>
        <v>0</v>
      </c>
      <c r="BY43" s="47">
        <f>IF(X34 &lt;&gt; "", VLOOKUP(CONCATENATE("P", X34), pointsSystem, 4, FALSE), 0)</f>
        <v>0</v>
      </c>
      <c r="BZ43" s="46">
        <f>IF(Y34 &lt;&gt; "", VLOOKUP(CONCATENATE("P", Y34), pointsSystem, 2, FALSE), 0)</f>
        <v>0</v>
      </c>
      <c r="CA43" s="6">
        <f>IF(Z34 &lt;&gt; "", VLOOKUP(CONCATENATE("P", Z34), pointsSystem, 3, FALSE), 0)</f>
        <v>0</v>
      </c>
      <c r="CB43" s="47">
        <f>IF(AA34 &lt;&gt; "", VLOOKUP(CONCATENATE("P", AA34), pointsSystem, 4, FALSE), 0)</f>
        <v>0</v>
      </c>
      <c r="CC43" s="46">
        <f>IF(AB34 &lt;&gt; "", VLOOKUP(CONCATENATE("P", AB34), pointsSystem, 2, FALSE), 0)</f>
        <v>0</v>
      </c>
      <c r="CD43" s="6">
        <f>IF(AC34 &lt;&gt; "", VLOOKUP(CONCATENATE("P", AC34), pointsSystem, 3, FALSE), 0)</f>
        <v>0</v>
      </c>
      <c r="CE43" s="47">
        <f>IF(AD34 &lt;&gt; "", VLOOKUP(CONCATENATE("P", AD34), pointsSystem, 4, FALSE), 0)</f>
        <v>0</v>
      </c>
      <c r="CF43" s="46">
        <f>IF(AE34 &lt;&gt; "", VLOOKUP(CONCATENATE("P", AE34), pointsSystem, 2, FALSE), 0)</f>
        <v>0</v>
      </c>
      <c r="CG43" s="6">
        <f>IF(AF34 &lt;&gt; "", VLOOKUP(CONCATENATE("P", AF34), pointsSystem, 3, FALSE), 0)</f>
        <v>0</v>
      </c>
      <c r="CH43" s="47">
        <f>IF(AG34 &lt;&gt; "", VLOOKUP(CONCATENATE("P", AG34), pointsSystem, 4, FALSE), 0)</f>
        <v>0</v>
      </c>
      <c r="CI43" s="46">
        <f>IF(AH34 &lt;&gt; "", VLOOKUP(CONCATENATE("P", AH34), pointsSystem, 2, FALSE), 0)</f>
        <v>0</v>
      </c>
      <c r="CJ43" s="6">
        <f>IF(AI34 &lt;&gt; "", VLOOKUP(CONCATENATE("P", AI34), pointsSystem, 3, FALSE), 0)</f>
        <v>0</v>
      </c>
      <c r="CK43" s="47">
        <f>IF(AJ34 &lt;&gt; "", VLOOKUP(CONCATENATE("P", AJ34), pointsSystem, 4, FALSE), 0)</f>
        <v>0</v>
      </c>
      <c r="CL43" s="46">
        <f>IF(AK34 &lt;&gt; "", VLOOKUP(CONCATENATE("P", AK34), pointsSystem, 2, FALSE), 0)</f>
        <v>0</v>
      </c>
      <c r="CM43" s="6">
        <f>IF(AL34 &lt;&gt; "", VLOOKUP(CONCATENATE("P", AL34), pointsSystem, 3, FALSE), 0)</f>
        <v>0</v>
      </c>
      <c r="CN43" s="47">
        <f>IF(AM34 &lt;&gt; "", VLOOKUP(CONCATENATE("P", AM34), pointsSystem, 4, FALSE), 0)</f>
        <v>0</v>
      </c>
      <c r="CO43" s="46">
        <f>IF(AN34 &lt;&gt; "", VLOOKUP(CONCATENATE("P", AN34), pointsSystem, 2, FALSE), 0)</f>
        <v>0</v>
      </c>
      <c r="CP43" s="6">
        <f>IF(AO34 &lt;&gt; "", VLOOKUP(CONCATENATE("P", AO34), pointsSystem, 3, FALSE), 0)</f>
        <v>0</v>
      </c>
      <c r="CQ43" s="47">
        <f>IF(AP34 &lt;&gt; "", VLOOKUP(CONCATENATE("P", AP34), pointsSystem, 4, FALSE), 0)</f>
        <v>0</v>
      </c>
      <c r="CR43" s="46">
        <f>IF(AQ34 &lt;&gt; "", VLOOKUP(CONCATENATE("P", AQ34), pointsSystem, 2, FALSE), 0)</f>
        <v>0</v>
      </c>
      <c r="CS43" s="6">
        <f>IF(AR34 &lt;&gt; "", VLOOKUP(CONCATENATE("P", AR34), pointsSystem, 3, FALSE), 0)</f>
        <v>0</v>
      </c>
      <c r="CT43" s="47">
        <f>IF(AS34 &lt;&gt; "", VLOOKUP(CONCATENATE("P", AS34), pointsSystem, 4, FALSE), 0)</f>
        <v>0</v>
      </c>
      <c r="CU43" s="46">
        <f>IF(AT34 &lt;&gt; "", VLOOKUP(CONCATENATE("P", AT34), pointsSystem, 2, FALSE), 0)</f>
        <v>0</v>
      </c>
      <c r="CV43" s="6">
        <f>IF(AU34 &lt;&gt; "", VLOOKUP(CONCATENATE("P", AU34), pointsSystem, 3, FALSE), 0)</f>
        <v>0</v>
      </c>
      <c r="CW43" s="47">
        <f>IF(AV34 &lt;&gt; "", VLOOKUP(CONCATENATE("P", AV34), pointsSystem, 4, FALSE), 0)</f>
        <v>0</v>
      </c>
      <c r="CX43" s="46">
        <f>IF(AW34 &lt;&gt; "", VLOOKUP(CONCATENATE("P", AW34), pointsSystem, 2, FALSE), 0)</f>
        <v>0</v>
      </c>
      <c r="CY43" s="6">
        <f>IF(AX34 &lt;&gt; "", VLOOKUP(CONCATENATE("P", AX34), pointsSystem, 3, FALSE), 0)</f>
        <v>0</v>
      </c>
      <c r="CZ43" s="47">
        <f>IF(AY34 &lt;&gt; "", VLOOKUP(CONCATENATE("P", AY34), pointsSystem, 4, FALSE), 0)</f>
        <v>0</v>
      </c>
      <c r="DA43" s="48">
        <f>AZ34 * 1</f>
        <v>0</v>
      </c>
    </row>
    <row r="44" spans="2:194" ht="16.8" customHeight="1" x14ac:dyDescent="0.3">
      <c r="B44" s="8" t="s">
        <v>131</v>
      </c>
      <c r="C44" s="43" t="s">
        <v>287</v>
      </c>
      <c r="D44" s="43" t="s">
        <v>340</v>
      </c>
      <c r="E44" s="43" t="s">
        <v>437</v>
      </c>
      <c r="F44" s="70" t="s">
        <v>34</v>
      </c>
      <c r="G44" s="76" t="s">
        <v>10</v>
      </c>
      <c r="H44" s="72" t="s">
        <v>12</v>
      </c>
      <c r="I44" s="11">
        <f>SUM(BN36:DA36)</f>
        <v>0</v>
      </c>
      <c r="L44" s="43" t="s">
        <v>340</v>
      </c>
      <c r="M44" s="15" t="s">
        <v>131</v>
      </c>
      <c r="N44" s="5" t="s">
        <v>131</v>
      </c>
      <c r="O44" s="16" t="s">
        <v>131</v>
      </c>
      <c r="P44" s="15" t="s">
        <v>131</v>
      </c>
      <c r="Q44" s="5" t="s">
        <v>131</v>
      </c>
      <c r="R44" s="16" t="s">
        <v>131</v>
      </c>
      <c r="S44" s="15" t="s">
        <v>131</v>
      </c>
      <c r="T44" s="5" t="s">
        <v>131</v>
      </c>
      <c r="U44" s="16" t="s">
        <v>131</v>
      </c>
      <c r="V44" s="15" t="s">
        <v>131</v>
      </c>
      <c r="W44" s="5" t="s">
        <v>131</v>
      </c>
      <c r="X44" s="16" t="s">
        <v>131</v>
      </c>
      <c r="Y44" s="15" t="s">
        <v>131</v>
      </c>
      <c r="Z44" s="5" t="s">
        <v>131</v>
      </c>
      <c r="AA44" s="16" t="s">
        <v>131</v>
      </c>
      <c r="AB44" s="15" t="s">
        <v>131</v>
      </c>
      <c r="AC44" s="5" t="s">
        <v>131</v>
      </c>
      <c r="AD44" s="16" t="s">
        <v>131</v>
      </c>
      <c r="AE44" s="15" t="s">
        <v>131</v>
      </c>
      <c r="AF44" s="5" t="s">
        <v>131</v>
      </c>
      <c r="AG44" s="16" t="s">
        <v>131</v>
      </c>
      <c r="AH44" s="15" t="s">
        <v>131</v>
      </c>
      <c r="AI44" s="5" t="s">
        <v>131</v>
      </c>
      <c r="AJ44" s="16" t="s">
        <v>131</v>
      </c>
      <c r="AK44" s="15" t="s">
        <v>131</v>
      </c>
      <c r="AL44" s="5" t="s">
        <v>131</v>
      </c>
      <c r="AM44" s="16" t="s">
        <v>131</v>
      </c>
      <c r="AN44" s="15" t="s">
        <v>131</v>
      </c>
      <c r="AO44" s="5" t="s">
        <v>131</v>
      </c>
      <c r="AP44" s="16" t="s">
        <v>131</v>
      </c>
      <c r="AQ44" s="15" t="s">
        <v>131</v>
      </c>
      <c r="AR44" s="5" t="s">
        <v>131</v>
      </c>
      <c r="AS44" s="16" t="s">
        <v>131</v>
      </c>
      <c r="AT44" s="15" t="s">
        <v>131</v>
      </c>
      <c r="AU44" s="5" t="s">
        <v>131</v>
      </c>
      <c r="AV44" s="16" t="s">
        <v>131</v>
      </c>
      <c r="AW44" s="15" t="s">
        <v>131</v>
      </c>
      <c r="AX44" s="5" t="s">
        <v>131</v>
      </c>
      <c r="AY44" s="16" t="s">
        <v>131</v>
      </c>
      <c r="AZ44" s="11"/>
      <c r="BH44" s="72" t="s">
        <v>598</v>
      </c>
      <c r="BI44" s="76" t="s">
        <v>596</v>
      </c>
      <c r="BJ44" s="67" t="s">
        <v>596</v>
      </c>
      <c r="BM44" s="139" t="s">
        <v>340</v>
      </c>
      <c r="BN44" s="46">
        <f>IF(M46 &lt;&gt; "", VLOOKUP(CONCATENATE("P", M46), pointsSystem, 2, FALSE), 0)</f>
        <v>0</v>
      </c>
      <c r="BO44" s="6">
        <f>IF(N46 &lt;&gt; "", VLOOKUP(CONCATENATE("P", N46), pointsSystem, 3, FALSE), 0)</f>
        <v>0</v>
      </c>
      <c r="BP44" s="47">
        <f>IF(O46 &lt;&gt; "", VLOOKUP(CONCATENATE("P", O46), pointsSystem, 4, FALSE), 0)</f>
        <v>0</v>
      </c>
      <c r="BQ44" s="46">
        <f>IF(P46 &lt;&gt; "", VLOOKUP(CONCATENATE("P", P46), pointsSystem, 2, FALSE), 0)</f>
        <v>0</v>
      </c>
      <c r="BR44" s="6">
        <f>IF(Q46 &lt;&gt; "", VLOOKUP(CONCATENATE("P", Q46), pointsSystem, 3, FALSE), 0)</f>
        <v>0</v>
      </c>
      <c r="BS44" s="47">
        <f>IF(R46 &lt;&gt; "", VLOOKUP(CONCATENATE("P", R46), pointsSystem, 4, FALSE), 0)</f>
        <v>0</v>
      </c>
      <c r="BT44" s="46">
        <f>IF(S46 &lt;&gt; "", VLOOKUP(CONCATENATE("P", S46), pointsSystem, 2, FALSE), 0)</f>
        <v>0</v>
      </c>
      <c r="BU44" s="6">
        <f>IF(T46 &lt;&gt; "", VLOOKUP(CONCATENATE("P", T46), pointsSystem, 3, FALSE), 0)</f>
        <v>0</v>
      </c>
      <c r="BV44" s="47">
        <f>IF(U46 &lt;&gt; "", VLOOKUP(CONCATENATE("P", U46), pointsSystem, 4, FALSE), 0)</f>
        <v>0</v>
      </c>
      <c r="BW44" s="46">
        <f>IF(V46 &lt;&gt; "", VLOOKUP(CONCATENATE("P", V46), pointsSystem, 2, FALSE), 0)</f>
        <v>0</v>
      </c>
      <c r="BX44" s="6">
        <f>IF(W46 &lt;&gt; "", VLOOKUP(CONCATENATE("P", W46), pointsSystem, 3, FALSE), 0)</f>
        <v>0</v>
      </c>
      <c r="BY44" s="47">
        <f>IF(X46 &lt;&gt; "", VLOOKUP(CONCATENATE("P", X46), pointsSystem, 4, FALSE), 0)</f>
        <v>0</v>
      </c>
      <c r="BZ44" s="46">
        <f>IF(Y46 &lt;&gt; "", VLOOKUP(CONCATENATE("P", Y46), pointsSystem, 2, FALSE), 0)</f>
        <v>0</v>
      </c>
      <c r="CA44" s="6">
        <f>IF(Z46 &lt;&gt; "", VLOOKUP(CONCATENATE("P", Z46), pointsSystem, 3, FALSE), 0)</f>
        <v>0</v>
      </c>
      <c r="CB44" s="47">
        <f>IF(AA46 &lt;&gt; "", VLOOKUP(CONCATENATE("P", AA46), pointsSystem, 4, FALSE), 0)</f>
        <v>0</v>
      </c>
      <c r="CC44" s="46">
        <f>IF(AB46 &lt;&gt; "", VLOOKUP(CONCATENATE("P", AB46), pointsSystem, 2, FALSE), 0)</f>
        <v>0</v>
      </c>
      <c r="CD44" s="6">
        <f>IF(AC46 &lt;&gt; "", VLOOKUP(CONCATENATE("P", AC46), pointsSystem, 3, FALSE), 0)</f>
        <v>0</v>
      </c>
      <c r="CE44" s="47">
        <f>IF(AD46 &lt;&gt; "", VLOOKUP(CONCATENATE("P", AD46), pointsSystem, 4, FALSE), 0)</f>
        <v>0</v>
      </c>
      <c r="CF44" s="46">
        <f>IF(AE46 &lt;&gt; "", VLOOKUP(CONCATENATE("P", AE46), pointsSystem, 2, FALSE), 0)</f>
        <v>0</v>
      </c>
      <c r="CG44" s="6">
        <f>IF(AF46 &lt;&gt; "", VLOOKUP(CONCATENATE("P", AF46), pointsSystem, 3, FALSE), 0)</f>
        <v>0</v>
      </c>
      <c r="CH44" s="47">
        <f>IF(AG46 &lt;&gt; "", VLOOKUP(CONCATENATE("P", AG46), pointsSystem, 4, FALSE), 0)</f>
        <v>0</v>
      </c>
      <c r="CI44" s="46">
        <f>IF(AH46 &lt;&gt; "", VLOOKUP(CONCATENATE("P", AH46), pointsSystem, 2, FALSE), 0)</f>
        <v>0</v>
      </c>
      <c r="CJ44" s="6">
        <f>IF(AI46 &lt;&gt; "", VLOOKUP(CONCATENATE("P", AI46), pointsSystem, 3, FALSE), 0)</f>
        <v>0</v>
      </c>
      <c r="CK44" s="47">
        <f>IF(AJ46 &lt;&gt; "", VLOOKUP(CONCATENATE("P", AJ46), pointsSystem, 4, FALSE), 0)</f>
        <v>0</v>
      </c>
      <c r="CL44" s="46">
        <f>IF(AK46 &lt;&gt; "", VLOOKUP(CONCATENATE("P", AK46), pointsSystem, 2, FALSE), 0)</f>
        <v>0</v>
      </c>
      <c r="CM44" s="6">
        <f>IF(AL46 &lt;&gt; "", VLOOKUP(CONCATENATE("P", AL46), pointsSystem, 3, FALSE), 0)</f>
        <v>0</v>
      </c>
      <c r="CN44" s="47">
        <f>IF(AM46 &lt;&gt; "", VLOOKUP(CONCATENATE("P", AM46), pointsSystem, 4, FALSE), 0)</f>
        <v>0</v>
      </c>
      <c r="CO44" s="46">
        <f>IF(AN46 &lt;&gt; "", VLOOKUP(CONCATENATE("P", AN46), pointsSystem, 2, FALSE), 0)</f>
        <v>0</v>
      </c>
      <c r="CP44" s="6">
        <f>IF(AO46 &lt;&gt; "", VLOOKUP(CONCATENATE("P", AO46), pointsSystem, 3, FALSE), 0)</f>
        <v>0</v>
      </c>
      <c r="CQ44" s="47">
        <f>IF(AP46 &lt;&gt; "", VLOOKUP(CONCATENATE("P", AP46), pointsSystem, 4, FALSE), 0)</f>
        <v>0</v>
      </c>
      <c r="CR44" s="46">
        <f>IF(AQ46 &lt;&gt; "", VLOOKUP(CONCATENATE("P", AQ46), pointsSystem, 2, FALSE), 0)</f>
        <v>0</v>
      </c>
      <c r="CS44" s="6">
        <f>IF(AR46 &lt;&gt; "", VLOOKUP(CONCATENATE("P", AR46), pointsSystem, 3, FALSE), 0)</f>
        <v>0</v>
      </c>
      <c r="CT44" s="47">
        <f>IF(AS46 &lt;&gt; "", VLOOKUP(CONCATENATE("P", AS46), pointsSystem, 4, FALSE), 0)</f>
        <v>0</v>
      </c>
      <c r="CU44" s="46">
        <f>IF(AT46 &lt;&gt; "", VLOOKUP(CONCATENATE("P", AT46), pointsSystem, 2, FALSE), 0)</f>
        <v>0</v>
      </c>
      <c r="CV44" s="6">
        <f>IF(AU46 &lt;&gt; "", VLOOKUP(CONCATENATE("P", AU46), pointsSystem, 3, FALSE), 0)</f>
        <v>0</v>
      </c>
      <c r="CW44" s="47">
        <f>IF(AV46 &lt;&gt; "", VLOOKUP(CONCATENATE("P", AV46), pointsSystem, 4, FALSE), 0)</f>
        <v>0</v>
      </c>
      <c r="CX44" s="46">
        <f>IF(AW46 &lt;&gt; "", VLOOKUP(CONCATENATE("P", AW46), pointsSystem, 2, FALSE), 0)</f>
        <v>0</v>
      </c>
      <c r="CY44" s="6">
        <f>IF(AX46 &lt;&gt; "", VLOOKUP(CONCATENATE("P", AX46), pointsSystem, 3, FALSE), 0)</f>
        <v>0</v>
      </c>
      <c r="CZ44" s="47">
        <f>IF(AY46 &lt;&gt; "", VLOOKUP(CONCATENATE("P", AY46), pointsSystem, 4, FALSE), 0)</f>
        <v>0</v>
      </c>
      <c r="DA44" s="48">
        <f>AZ46 * 1</f>
        <v>0</v>
      </c>
    </row>
    <row r="45" spans="2:194" ht="16.8" customHeight="1" x14ac:dyDescent="0.3">
      <c r="B45" s="8" t="s">
        <v>131</v>
      </c>
      <c r="C45" s="131" t="s">
        <v>231</v>
      </c>
      <c r="D45" s="131" t="s">
        <v>340</v>
      </c>
      <c r="E45" s="131" t="s">
        <v>605</v>
      </c>
      <c r="F45" s="69" t="s">
        <v>5</v>
      </c>
      <c r="G45" s="66" t="s">
        <v>7</v>
      </c>
      <c r="H45" s="78" t="s">
        <v>11</v>
      </c>
      <c r="I45" s="11">
        <f>SUM(BN40:DA40)</f>
        <v>0</v>
      </c>
      <c r="L45" s="131" t="s">
        <v>340</v>
      </c>
      <c r="M45" s="15" t="s">
        <v>131</v>
      </c>
      <c r="N45" s="5" t="s">
        <v>131</v>
      </c>
      <c r="O45" s="16" t="s">
        <v>131</v>
      </c>
      <c r="P45" s="15" t="s">
        <v>131</v>
      </c>
      <c r="Q45" s="5" t="s">
        <v>131</v>
      </c>
      <c r="R45" s="16" t="s">
        <v>131</v>
      </c>
      <c r="S45" s="15" t="s">
        <v>131</v>
      </c>
      <c r="T45" s="5" t="s">
        <v>131</v>
      </c>
      <c r="U45" s="16" t="s">
        <v>131</v>
      </c>
      <c r="V45" s="15" t="s">
        <v>131</v>
      </c>
      <c r="W45" s="5" t="s">
        <v>131</v>
      </c>
      <c r="X45" s="16" t="s">
        <v>131</v>
      </c>
      <c r="Y45" s="15" t="s">
        <v>131</v>
      </c>
      <c r="Z45" s="5" t="s">
        <v>131</v>
      </c>
      <c r="AA45" s="16" t="s">
        <v>131</v>
      </c>
      <c r="AB45" s="15" t="s">
        <v>131</v>
      </c>
      <c r="AC45" s="5" t="s">
        <v>131</v>
      </c>
      <c r="AD45" s="16" t="s">
        <v>131</v>
      </c>
      <c r="AE45" s="15" t="s">
        <v>131</v>
      </c>
      <c r="AF45" s="5" t="s">
        <v>131</v>
      </c>
      <c r="AG45" s="16" t="s">
        <v>131</v>
      </c>
      <c r="AH45" s="15" t="s">
        <v>131</v>
      </c>
      <c r="AI45" s="5" t="s">
        <v>131</v>
      </c>
      <c r="AJ45" s="16" t="s">
        <v>131</v>
      </c>
      <c r="AK45" s="15" t="s">
        <v>131</v>
      </c>
      <c r="AL45" s="5" t="s">
        <v>131</v>
      </c>
      <c r="AM45" s="16" t="s">
        <v>131</v>
      </c>
      <c r="AN45" s="15" t="s">
        <v>131</v>
      </c>
      <c r="AO45" s="5" t="s">
        <v>131</v>
      </c>
      <c r="AP45" s="16" t="s">
        <v>131</v>
      </c>
      <c r="AQ45" s="15" t="s">
        <v>131</v>
      </c>
      <c r="AR45" s="5" t="s">
        <v>131</v>
      </c>
      <c r="AS45" s="16" t="s">
        <v>131</v>
      </c>
      <c r="AT45" s="15" t="s">
        <v>131</v>
      </c>
      <c r="AU45" s="5" t="s">
        <v>131</v>
      </c>
      <c r="AV45" s="16" t="s">
        <v>131</v>
      </c>
      <c r="AW45" s="15" t="s">
        <v>131</v>
      </c>
      <c r="AX45" s="5" t="s">
        <v>131</v>
      </c>
      <c r="AY45" s="16" t="s">
        <v>131</v>
      </c>
      <c r="AZ45" s="11"/>
    </row>
    <row r="46" spans="2:194" ht="16.8" customHeight="1" thickBot="1" x14ac:dyDescent="0.35">
      <c r="B46" s="8" t="s">
        <v>131</v>
      </c>
      <c r="C46" s="139" t="s">
        <v>559</v>
      </c>
      <c r="D46" s="139" t="s">
        <v>340</v>
      </c>
      <c r="E46" s="139" t="s">
        <v>607</v>
      </c>
      <c r="F46" s="72" t="s">
        <v>439</v>
      </c>
      <c r="G46" s="76" t="s">
        <v>10</v>
      </c>
      <c r="H46" s="67" t="s">
        <v>13</v>
      </c>
      <c r="I46" s="11">
        <f>SUM(BN44:DA44)</f>
        <v>0</v>
      </c>
      <c r="L46" s="139" t="s">
        <v>340</v>
      </c>
      <c r="M46" s="15" t="s">
        <v>131</v>
      </c>
      <c r="N46" s="5" t="s">
        <v>131</v>
      </c>
      <c r="O46" s="16" t="s">
        <v>131</v>
      </c>
      <c r="P46" s="15" t="s">
        <v>131</v>
      </c>
      <c r="Q46" s="5" t="s">
        <v>131</v>
      </c>
      <c r="R46" s="16" t="s">
        <v>131</v>
      </c>
      <c r="S46" s="15" t="s">
        <v>131</v>
      </c>
      <c r="T46" s="5" t="s">
        <v>131</v>
      </c>
      <c r="U46" s="16" t="s">
        <v>131</v>
      </c>
      <c r="V46" s="15" t="s">
        <v>131</v>
      </c>
      <c r="W46" s="5" t="s">
        <v>131</v>
      </c>
      <c r="X46" s="16" t="s">
        <v>131</v>
      </c>
      <c r="Y46" s="15" t="s">
        <v>131</v>
      </c>
      <c r="Z46" s="5" t="s">
        <v>131</v>
      </c>
      <c r="AA46" s="16" t="s">
        <v>131</v>
      </c>
      <c r="AB46" s="15" t="s">
        <v>131</v>
      </c>
      <c r="AC46" s="5" t="s">
        <v>131</v>
      </c>
      <c r="AD46" s="16" t="s">
        <v>131</v>
      </c>
      <c r="AE46" s="15" t="s">
        <v>131</v>
      </c>
      <c r="AF46" s="5" t="s">
        <v>131</v>
      </c>
      <c r="AG46" s="16" t="s">
        <v>131</v>
      </c>
      <c r="AH46" s="15" t="s">
        <v>131</v>
      </c>
      <c r="AI46" s="5" t="s">
        <v>131</v>
      </c>
      <c r="AJ46" s="16" t="s">
        <v>131</v>
      </c>
      <c r="AK46" s="15" t="s">
        <v>131</v>
      </c>
      <c r="AL46" s="5" t="s">
        <v>131</v>
      </c>
      <c r="AM46" s="16" t="s">
        <v>131</v>
      </c>
      <c r="AN46" s="15" t="s">
        <v>131</v>
      </c>
      <c r="AO46" s="5" t="s">
        <v>131</v>
      </c>
      <c r="AP46" s="16" t="s">
        <v>131</v>
      </c>
      <c r="AQ46" s="15" t="s">
        <v>131</v>
      </c>
      <c r="AR46" s="5" t="s">
        <v>131</v>
      </c>
      <c r="AS46" s="16" t="s">
        <v>131</v>
      </c>
      <c r="AT46" s="15" t="s">
        <v>131</v>
      </c>
      <c r="AU46" s="5" t="s">
        <v>131</v>
      </c>
      <c r="AV46" s="16" t="s">
        <v>131</v>
      </c>
      <c r="AW46" s="15" t="s">
        <v>131</v>
      </c>
      <c r="AX46" s="5" t="s">
        <v>131</v>
      </c>
      <c r="AY46" s="16" t="s">
        <v>131</v>
      </c>
      <c r="AZ46" s="11"/>
    </row>
    <row r="47" spans="2:194" ht="16.8" customHeight="1" x14ac:dyDescent="0.3">
      <c r="B47" s="130"/>
      <c r="C47" s="130"/>
      <c r="D47" s="130"/>
      <c r="E47" s="130"/>
      <c r="F47" s="130"/>
      <c r="G47" s="130"/>
      <c r="H47" s="130"/>
      <c r="I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</row>
  </sheetData>
  <mergeCells count="138">
    <mergeCell ref="B2:I2"/>
    <mergeCell ref="BC2:BE2"/>
    <mergeCell ref="B3:I3"/>
    <mergeCell ref="L3:L4"/>
    <mergeCell ref="M3:O3"/>
    <mergeCell ref="P3:R3"/>
    <mergeCell ref="S3:U3"/>
    <mergeCell ref="AQ3:AS3"/>
    <mergeCell ref="AT3:AV3"/>
    <mergeCell ref="AW3:AY3"/>
    <mergeCell ref="AZ3:AZ4"/>
    <mergeCell ref="BC3:BE3"/>
    <mergeCell ref="V3:X3"/>
    <mergeCell ref="Y3:AA3"/>
    <mergeCell ref="AN3:AP3"/>
    <mergeCell ref="AB3:AD3"/>
    <mergeCell ref="AE3:AG3"/>
    <mergeCell ref="AH3:AJ3"/>
    <mergeCell ref="AK3:AM3"/>
    <mergeCell ref="ER3:ER4"/>
    <mergeCell ref="DH3:DJ3"/>
    <mergeCell ref="DK3:DM3"/>
    <mergeCell ref="DN3:DP3"/>
    <mergeCell ref="DQ3:DS3"/>
    <mergeCell ref="DT3:DV3"/>
    <mergeCell ref="DW3:DY3"/>
    <mergeCell ref="EO3:EQ3"/>
    <mergeCell ref="BD38:BE38"/>
    <mergeCell ref="CL3:CN3"/>
    <mergeCell ref="EF3:EH3"/>
    <mergeCell ref="DZ3:EB3"/>
    <mergeCell ref="EC3:EE3"/>
    <mergeCell ref="EI3:EK3"/>
    <mergeCell ref="EL3:EN3"/>
    <mergeCell ref="CR3:CT3"/>
    <mergeCell ref="CU3:CW3"/>
    <mergeCell ref="DE3:DG3"/>
    <mergeCell ref="CX3:CZ3"/>
    <mergeCell ref="DA3:DA4"/>
    <mergeCell ref="DD3:DD4"/>
    <mergeCell ref="CO3:CQ3"/>
    <mergeCell ref="CI3:CK3"/>
    <mergeCell ref="BD39:BE39"/>
    <mergeCell ref="BD40:BE40"/>
    <mergeCell ref="BD34:BE34"/>
    <mergeCell ref="BD31:BE31"/>
    <mergeCell ref="BD32:BE32"/>
    <mergeCell ref="BD33:BE33"/>
    <mergeCell ref="BD37:BE37"/>
    <mergeCell ref="CF3:CH3"/>
    <mergeCell ref="BM3:BM4"/>
    <mergeCell ref="BN3:BP3"/>
    <mergeCell ref="BQ3:BS3"/>
    <mergeCell ref="BT3:BV3"/>
    <mergeCell ref="BZ3:CB3"/>
    <mergeCell ref="CC3:CE3"/>
    <mergeCell ref="BW3:BY3"/>
    <mergeCell ref="GI3:GI4"/>
    <mergeCell ref="FH3:FJ3"/>
    <mergeCell ref="FK3:FM3"/>
    <mergeCell ref="FN3:FP3"/>
    <mergeCell ref="FQ3:FS3"/>
    <mergeCell ref="FT3:FV3"/>
    <mergeCell ref="EU3:EU4"/>
    <mergeCell ref="EV3:EX3"/>
    <mergeCell ref="EY3:FA3"/>
    <mergeCell ref="FB3:FD3"/>
    <mergeCell ref="FE3:FG3"/>
    <mergeCell ref="GL3:GL4"/>
    <mergeCell ref="GL5:GL6"/>
    <mergeCell ref="GL7:GL8"/>
    <mergeCell ref="GL9:GL10"/>
    <mergeCell ref="GL11:GL12"/>
    <mergeCell ref="EU15:EU16"/>
    <mergeCell ref="EV15:EX15"/>
    <mergeCell ref="EY15:FA15"/>
    <mergeCell ref="FB15:FD15"/>
    <mergeCell ref="FE15:FG15"/>
    <mergeCell ref="FH15:FJ15"/>
    <mergeCell ref="FK15:FM15"/>
    <mergeCell ref="EU5:EU6"/>
    <mergeCell ref="EU7:EU8"/>
    <mergeCell ref="EU9:EU10"/>
    <mergeCell ref="EU11:EU12"/>
    <mergeCell ref="GI5:GI6"/>
    <mergeCell ref="GI7:GI8"/>
    <mergeCell ref="GI9:GI10"/>
    <mergeCell ref="GI11:GI12"/>
    <mergeCell ref="FW3:FY3"/>
    <mergeCell ref="FZ3:GB3"/>
    <mergeCell ref="GC3:GE3"/>
    <mergeCell ref="GF3:GH3"/>
    <mergeCell ref="EU19:EU20"/>
    <mergeCell ref="GI19:GI20"/>
    <mergeCell ref="GL19:GL20"/>
    <mergeCell ref="EU21:EU22"/>
    <mergeCell ref="GI21:GI22"/>
    <mergeCell ref="GL21:GL22"/>
    <mergeCell ref="GC15:GE15"/>
    <mergeCell ref="GF15:GH15"/>
    <mergeCell ref="GI15:GI16"/>
    <mergeCell ref="GL15:GL16"/>
    <mergeCell ref="EU17:EU18"/>
    <mergeCell ref="GI17:GI18"/>
    <mergeCell ref="GL17:GL18"/>
    <mergeCell ref="FN15:FP15"/>
    <mergeCell ref="FQ15:FS15"/>
    <mergeCell ref="FT15:FV15"/>
    <mergeCell ref="FW15:FY15"/>
    <mergeCell ref="FZ15:GB15"/>
    <mergeCell ref="EU23:EU24"/>
    <mergeCell ref="GI23:GI24"/>
    <mergeCell ref="GL23:GL24"/>
    <mergeCell ref="EU27:EU28"/>
    <mergeCell ref="EV27:EX27"/>
    <mergeCell ref="EY27:FA27"/>
    <mergeCell ref="FB27:FD27"/>
    <mergeCell ref="FE27:FG27"/>
    <mergeCell ref="FH27:FJ27"/>
    <mergeCell ref="FK27:FM27"/>
    <mergeCell ref="FN27:FP27"/>
    <mergeCell ref="FQ27:FS27"/>
    <mergeCell ref="FT27:FV27"/>
    <mergeCell ref="FW27:FY27"/>
    <mergeCell ref="FZ27:GB27"/>
    <mergeCell ref="GC27:GE27"/>
    <mergeCell ref="EU31:EU32"/>
    <mergeCell ref="GI31:GI32"/>
    <mergeCell ref="GL31:GL32"/>
    <mergeCell ref="EU33:EU34"/>
    <mergeCell ref="GI33:GI34"/>
    <mergeCell ref="GL33:GL34"/>
    <mergeCell ref="GF27:GH27"/>
    <mergeCell ref="GI27:GI28"/>
    <mergeCell ref="GL27:GL28"/>
    <mergeCell ref="EU29:EU30"/>
    <mergeCell ref="GI29:GI30"/>
    <mergeCell ref="GL29:GL30"/>
  </mergeCells>
  <phoneticPr fontId="1" type="noConversion"/>
  <conditionalFormatting sqref="I5:I34 I37:I46">
    <cfRule type="cellIs" dxfId="201" priority="20" operator="lessThan">
      <formula>$BC$33</formula>
    </cfRule>
  </conditionalFormatting>
  <conditionalFormatting sqref="M5:M34 P5:P34 S5:S34 V5:V34 Y5:Y34 AB5:AB34 AE5:AE34 AH5:AH34 AK5:AK34 AN5:AN34 AQ5:AQ34 AT5:AT34 AW5:AW34 M37:M46 P37:P46 S37:S46 V37:V46 Y37:Y46 AB37:AB46 AE37:AE46 AH37:AH46 AK37:AK46 AN37:AN46 AQ37:AQ46 AT37:AT46 AW37:AW46">
    <cfRule type="cellIs" dxfId="200" priority="24" operator="between">
      <formula>3</formula>
      <formula>8</formula>
    </cfRule>
    <cfRule type="cellIs" dxfId="199" priority="25" operator="between">
      <formula>9</formula>
      <formula>30</formula>
    </cfRule>
    <cfRule type="cellIs" dxfId="198" priority="29" operator="equal">
      <formula>"EXC"</formula>
    </cfRule>
  </conditionalFormatting>
  <conditionalFormatting sqref="M5:AY34 M37:AY46">
    <cfRule type="cellIs" dxfId="197" priority="15" operator="equal">
      <formula>1</formula>
    </cfRule>
    <cfRule type="cellIs" dxfId="196" priority="21" operator="equal">
      <formula>2</formula>
    </cfRule>
    <cfRule type="cellIs" dxfId="195" priority="22" operator="equal">
      <formula>3</formula>
    </cfRule>
    <cfRule type="cellIs" dxfId="194" priority="27" operator="equal">
      <formula>"WDN"</formula>
    </cfRule>
    <cfRule type="cellIs" dxfId="193" priority="32" operator="equal">
      <formula>"DNQ"</formula>
    </cfRule>
  </conditionalFormatting>
  <conditionalFormatting sqref="N5:O34 Q5:R34 T5:U34 W5:X34 Z5:AA34 AC5:AD34 AF5:AG34 AI5:AJ34 AL5:AP34 AR5:AS34 AU5:AV34 AX5:AY34 N37:O46 Q37:R46 T37:U46 W37:X46 Z37:AA46 AC37:AD46 AF37:AG46 AI37:AJ46 AL37:AP46 AR37:AS46 AU37:AV46 AX37:AY46">
    <cfRule type="cellIs" dxfId="192" priority="23" operator="between">
      <formula>4</formula>
      <formula>12</formula>
    </cfRule>
    <cfRule type="cellIs" dxfId="191" priority="28" operator="equal">
      <formula>"DNF"</formula>
    </cfRule>
    <cfRule type="cellIs" dxfId="190" priority="30" operator="equal">
      <formula>"NC"</formula>
    </cfRule>
    <cfRule type="cellIs" dxfId="189" priority="31" operator="equal">
      <formula>"DNS"</formula>
    </cfRule>
    <cfRule type="cellIs" dxfId="188" priority="33" operator="equal">
      <formula>"DSQ"</formula>
    </cfRule>
  </conditionalFormatting>
  <conditionalFormatting sqref="AL5:AP34 AL37:AP46 N5:O34 Q5:R34 T5:U34 W5:X34 Z5:AA34 AC5:AD34 AF5:AG34 AI5:AJ34 AR5:AS34 AU5:AV34 AX5:AY34 N37:O46 Q37:R46 T37:U46 W37:X46 Z37:AA46 AC37:AD46 AF37:AG46 AI37:AJ46 AR37:AS46 AU37:AV46 AX37:AY46">
    <cfRule type="cellIs" dxfId="187" priority="26" operator="between">
      <formula>13</formula>
      <formula>30</formula>
    </cfRule>
  </conditionalFormatting>
  <conditionalFormatting sqref="BE5:BE14">
    <cfRule type="cellIs" dxfId="186" priority="34" operator="lessThan">
      <formula>$BC$34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A90E-BB88-45C5-B828-0AF38CB74EBE}">
  <sheetPr codeName="Sheet8"/>
  <dimension ref="B1:EY48"/>
  <sheetViews>
    <sheetView zoomScale="80" zoomScaleNormal="80" workbookViewId="0">
      <selection activeCell="AS17" sqref="AS17"/>
    </sheetView>
  </sheetViews>
  <sheetFormatPr defaultColWidth="8.77734375" defaultRowHeight="16.8" customHeight="1" x14ac:dyDescent="0.3"/>
  <cols>
    <col min="1" max="1" width="3.109375" style="4" customWidth="1"/>
    <col min="2" max="2" width="6.6640625" style="4" customWidth="1"/>
    <col min="3" max="3" width="24.44140625" style="4" customWidth="1"/>
    <col min="4" max="4" width="8.88671875" style="4" customWidth="1"/>
    <col min="5" max="5" width="27.77734375" style="4" customWidth="1"/>
    <col min="6" max="8" width="12.21875" style="4" customWidth="1"/>
    <col min="9" max="9" width="7.77734375" style="4" customWidth="1"/>
    <col min="10" max="11" width="3.109375" style="4" customWidth="1"/>
    <col min="12" max="12" width="8.88671875" style="4" customWidth="1"/>
    <col min="13" max="40" width="6.109375" style="4" customWidth="1"/>
    <col min="41" max="42" width="6.6640625" style="4" customWidth="1"/>
    <col min="43" max="44" width="3.109375" style="4" customWidth="1"/>
    <col min="45" max="45" width="6.6640625" style="4" customWidth="1"/>
    <col min="46" max="46" width="27.77734375" style="4" customWidth="1"/>
    <col min="47" max="47" width="7.77734375" style="4" customWidth="1"/>
    <col min="48" max="49" width="3.109375" style="4" customWidth="1"/>
    <col min="50" max="52" width="5.6640625" style="4" customWidth="1"/>
    <col min="53" max="54" width="3.109375" style="4" customWidth="1"/>
    <col min="55" max="55" width="8.88671875" style="4" customWidth="1"/>
    <col min="56" max="59" width="6.109375" style="4" customWidth="1"/>
    <col min="60" max="61" width="6.109375" style="4" hidden="1" customWidth="1"/>
    <col min="62" max="85" width="6.109375" style="4" customWidth="1"/>
    <col min="86" max="87" width="3.109375" style="4" customWidth="1"/>
    <col min="88" max="88" width="27.77734375" style="4" customWidth="1"/>
    <col min="89" max="118" width="6.109375" style="4" customWidth="1"/>
    <col min="119" max="120" width="3.109375" style="4" customWidth="1"/>
    <col min="121" max="121" width="21.109375" style="4" customWidth="1"/>
    <col min="122" max="125" width="6.109375" style="4" customWidth="1"/>
    <col min="126" max="127" width="6.109375" style="4" hidden="1" customWidth="1"/>
    <col min="128" max="151" width="6.109375" style="4" customWidth="1"/>
    <col min="152" max="153" width="3.109375" style="4" customWidth="1"/>
    <col min="154" max="154" width="21.109375" style="4" customWidth="1"/>
    <col min="155" max="155" width="8.33203125" style="4" customWidth="1"/>
    <col min="156" max="157" width="3.109375" style="4" customWidth="1"/>
    <col min="158" max="16384" width="8.77734375" style="4"/>
  </cols>
  <sheetData>
    <row r="1" spans="2:155" ht="16.8" customHeight="1" thickBot="1" x14ac:dyDescent="0.35"/>
    <row r="2" spans="2:155" ht="16.8" customHeight="1" thickBot="1" x14ac:dyDescent="0.35">
      <c r="B2" s="174" t="s">
        <v>609</v>
      </c>
      <c r="C2" s="175"/>
      <c r="D2" s="175"/>
      <c r="E2" s="175"/>
      <c r="F2" s="175"/>
      <c r="G2" s="175"/>
      <c r="H2" s="175"/>
      <c r="I2" s="176"/>
      <c r="AS2" s="174" t="s">
        <v>609</v>
      </c>
      <c r="AT2" s="175"/>
      <c r="AU2" s="176"/>
    </row>
    <row r="3" spans="2:155" ht="16.8" customHeight="1" thickBot="1" x14ac:dyDescent="0.35">
      <c r="B3" s="171" t="s">
        <v>382</v>
      </c>
      <c r="C3" s="172"/>
      <c r="D3" s="172"/>
      <c r="E3" s="172"/>
      <c r="F3" s="172"/>
      <c r="G3" s="172"/>
      <c r="H3" s="172"/>
      <c r="I3" s="173"/>
      <c r="L3" s="226" t="s">
        <v>44</v>
      </c>
      <c r="M3" s="229" t="s">
        <v>358</v>
      </c>
      <c r="N3" s="178"/>
      <c r="O3" s="229" t="s">
        <v>359</v>
      </c>
      <c r="P3" s="178"/>
      <c r="Q3" s="229" t="s">
        <v>672</v>
      </c>
      <c r="R3" s="178"/>
      <c r="S3" s="229" t="s">
        <v>360</v>
      </c>
      <c r="T3" s="178"/>
      <c r="U3" s="229" t="s">
        <v>361</v>
      </c>
      <c r="V3" s="178"/>
      <c r="W3" s="229" t="s">
        <v>362</v>
      </c>
      <c r="X3" s="178"/>
      <c r="Y3" s="229" t="s">
        <v>363</v>
      </c>
      <c r="Z3" s="178"/>
      <c r="AA3" s="229" t="s">
        <v>364</v>
      </c>
      <c r="AB3" s="178"/>
      <c r="AC3" s="229" t="s">
        <v>365</v>
      </c>
      <c r="AD3" s="178"/>
      <c r="AE3" s="229" t="s">
        <v>366</v>
      </c>
      <c r="AF3" s="178"/>
      <c r="AG3" s="229" t="s">
        <v>367</v>
      </c>
      <c r="AH3" s="178"/>
      <c r="AI3" s="229" t="s">
        <v>425</v>
      </c>
      <c r="AJ3" s="178"/>
      <c r="AK3" s="229" t="s">
        <v>426</v>
      </c>
      <c r="AL3" s="178"/>
      <c r="AM3" s="229" t="s">
        <v>591</v>
      </c>
      <c r="AN3" s="178"/>
      <c r="AO3" s="229" t="s">
        <v>677</v>
      </c>
      <c r="AP3" s="178"/>
      <c r="AS3" s="171" t="s">
        <v>383</v>
      </c>
      <c r="AT3" s="172"/>
      <c r="AU3" s="173"/>
      <c r="BC3" s="226" t="s">
        <v>44</v>
      </c>
      <c r="BD3" s="229" t="s">
        <v>358</v>
      </c>
      <c r="BE3" s="178"/>
      <c r="BF3" s="229" t="s">
        <v>359</v>
      </c>
      <c r="BG3" s="178"/>
      <c r="BH3" s="229" t="s">
        <v>613</v>
      </c>
      <c r="BI3" s="178"/>
      <c r="BJ3" s="229" t="s">
        <v>360</v>
      </c>
      <c r="BK3" s="178"/>
      <c r="BL3" s="229" t="s">
        <v>361</v>
      </c>
      <c r="BM3" s="178"/>
      <c r="BN3" s="229" t="s">
        <v>362</v>
      </c>
      <c r="BO3" s="178"/>
      <c r="BP3" s="229" t="s">
        <v>363</v>
      </c>
      <c r="BQ3" s="178"/>
      <c r="BR3" s="229" t="s">
        <v>364</v>
      </c>
      <c r="BS3" s="178"/>
      <c r="BT3" s="229" t="s">
        <v>365</v>
      </c>
      <c r="BU3" s="178"/>
      <c r="BV3" s="229" t="s">
        <v>366</v>
      </c>
      <c r="BW3" s="178"/>
      <c r="BX3" s="229" t="s">
        <v>367</v>
      </c>
      <c r="BY3" s="178"/>
      <c r="BZ3" s="229" t="s">
        <v>425</v>
      </c>
      <c r="CA3" s="178"/>
      <c r="CB3" s="229" t="s">
        <v>426</v>
      </c>
      <c r="CC3" s="178"/>
      <c r="CD3" s="229" t="s">
        <v>591</v>
      </c>
      <c r="CE3" s="178"/>
      <c r="CF3" s="229" t="s">
        <v>58</v>
      </c>
      <c r="CG3" s="178"/>
      <c r="CJ3" s="226" t="s">
        <v>1</v>
      </c>
      <c r="CK3" s="229" t="s">
        <v>358</v>
      </c>
      <c r="CL3" s="178"/>
      <c r="CM3" s="229" t="s">
        <v>359</v>
      </c>
      <c r="CN3" s="178"/>
      <c r="CO3" s="229" t="s">
        <v>613</v>
      </c>
      <c r="CP3" s="178"/>
      <c r="CQ3" s="229" t="s">
        <v>360</v>
      </c>
      <c r="CR3" s="178"/>
      <c r="CS3" s="229" t="s">
        <v>361</v>
      </c>
      <c r="CT3" s="178"/>
      <c r="CU3" s="229" t="s">
        <v>362</v>
      </c>
      <c r="CV3" s="178"/>
      <c r="CW3" s="229" t="s">
        <v>363</v>
      </c>
      <c r="CX3" s="178"/>
      <c r="CY3" s="229" t="s">
        <v>364</v>
      </c>
      <c r="CZ3" s="178"/>
      <c r="DA3" s="229" t="s">
        <v>365</v>
      </c>
      <c r="DB3" s="178"/>
      <c r="DC3" s="229" t="s">
        <v>366</v>
      </c>
      <c r="DD3" s="178"/>
      <c r="DE3" s="229" t="s">
        <v>367</v>
      </c>
      <c r="DF3" s="178"/>
      <c r="DG3" s="229" t="s">
        <v>425</v>
      </c>
      <c r="DH3" s="178"/>
      <c r="DI3" s="229" t="s">
        <v>426</v>
      </c>
      <c r="DJ3" s="178"/>
      <c r="DK3" s="229" t="s">
        <v>591</v>
      </c>
      <c r="DL3" s="178"/>
      <c r="DM3" s="229" t="s">
        <v>58</v>
      </c>
      <c r="DN3" s="178"/>
      <c r="DQ3" s="245" t="s">
        <v>1</v>
      </c>
      <c r="DR3" s="229" t="s">
        <v>358</v>
      </c>
      <c r="DS3" s="178"/>
      <c r="DT3" s="229" t="s">
        <v>359</v>
      </c>
      <c r="DU3" s="178"/>
      <c r="DV3" s="229" t="s">
        <v>613</v>
      </c>
      <c r="DW3" s="178"/>
      <c r="DX3" s="229" t="s">
        <v>360</v>
      </c>
      <c r="DY3" s="178"/>
      <c r="DZ3" s="229" t="s">
        <v>361</v>
      </c>
      <c r="EA3" s="178"/>
      <c r="EB3" s="229" t="s">
        <v>362</v>
      </c>
      <c r="EC3" s="178"/>
      <c r="ED3" s="229" t="s">
        <v>363</v>
      </c>
      <c r="EE3" s="178"/>
      <c r="EF3" s="229" t="s">
        <v>364</v>
      </c>
      <c r="EG3" s="178"/>
      <c r="EH3" s="229" t="s">
        <v>365</v>
      </c>
      <c r="EI3" s="178"/>
      <c r="EJ3" s="229" t="s">
        <v>366</v>
      </c>
      <c r="EK3" s="178"/>
      <c r="EL3" s="229" t="s">
        <v>367</v>
      </c>
      <c r="EM3" s="178"/>
      <c r="EN3" s="229" t="s">
        <v>425</v>
      </c>
      <c r="EO3" s="178"/>
      <c r="EP3" s="229" t="s">
        <v>426</v>
      </c>
      <c r="EQ3" s="178"/>
      <c r="ER3" s="229" t="s">
        <v>591</v>
      </c>
      <c r="ES3" s="178"/>
      <c r="ET3" s="229" t="s">
        <v>58</v>
      </c>
      <c r="EU3" s="178"/>
      <c r="EX3" s="245" t="s">
        <v>1</v>
      </c>
      <c r="EY3" s="202" t="s">
        <v>45</v>
      </c>
    </row>
    <row r="4" spans="2:155" ht="16.8" customHeight="1" thickBot="1" x14ac:dyDescent="0.35">
      <c r="B4" s="7" t="s">
        <v>15</v>
      </c>
      <c r="C4" s="7" t="s">
        <v>43</v>
      </c>
      <c r="D4" s="7" t="s">
        <v>44</v>
      </c>
      <c r="E4" s="7" t="s">
        <v>0</v>
      </c>
      <c r="F4" s="7" t="s">
        <v>422</v>
      </c>
      <c r="G4" s="7" t="s">
        <v>2</v>
      </c>
      <c r="H4" s="7" t="s">
        <v>3</v>
      </c>
      <c r="I4" s="7" t="s">
        <v>45</v>
      </c>
      <c r="L4" s="227"/>
      <c r="M4" s="33" t="s">
        <v>17</v>
      </c>
      <c r="N4" s="34" t="s">
        <v>18</v>
      </c>
      <c r="O4" s="33" t="s">
        <v>17</v>
      </c>
      <c r="P4" s="34" t="s">
        <v>18</v>
      </c>
      <c r="Q4" s="33" t="s">
        <v>17</v>
      </c>
      <c r="R4" s="34" t="s">
        <v>18</v>
      </c>
      <c r="S4" s="33" t="s">
        <v>17</v>
      </c>
      <c r="T4" s="34" t="s">
        <v>18</v>
      </c>
      <c r="U4" s="33" t="s">
        <v>17</v>
      </c>
      <c r="V4" s="34" t="s">
        <v>18</v>
      </c>
      <c r="W4" s="33" t="s">
        <v>17</v>
      </c>
      <c r="X4" s="34" t="s">
        <v>18</v>
      </c>
      <c r="Y4" s="33" t="s">
        <v>17</v>
      </c>
      <c r="Z4" s="34" t="s">
        <v>18</v>
      </c>
      <c r="AA4" s="33" t="s">
        <v>17</v>
      </c>
      <c r="AB4" s="34" t="s">
        <v>18</v>
      </c>
      <c r="AC4" s="33" t="s">
        <v>17</v>
      </c>
      <c r="AD4" s="34" t="s">
        <v>18</v>
      </c>
      <c r="AE4" s="33" t="s">
        <v>17</v>
      </c>
      <c r="AF4" s="34" t="s">
        <v>18</v>
      </c>
      <c r="AG4" s="33" t="s">
        <v>17</v>
      </c>
      <c r="AH4" s="34" t="s">
        <v>18</v>
      </c>
      <c r="AI4" s="33" t="s">
        <v>17</v>
      </c>
      <c r="AJ4" s="34" t="s">
        <v>18</v>
      </c>
      <c r="AK4" s="33" t="s">
        <v>17</v>
      </c>
      <c r="AL4" s="34" t="s">
        <v>18</v>
      </c>
      <c r="AM4" s="33" t="s">
        <v>17</v>
      </c>
      <c r="AN4" s="34" t="s">
        <v>18</v>
      </c>
      <c r="AO4" s="33" t="s">
        <v>17</v>
      </c>
      <c r="AP4" s="34" t="s">
        <v>18</v>
      </c>
      <c r="AS4" s="7" t="s">
        <v>15</v>
      </c>
      <c r="AT4" s="62" t="s">
        <v>0</v>
      </c>
      <c r="AU4" s="7" t="s">
        <v>45</v>
      </c>
      <c r="AX4" s="5" t="s">
        <v>423</v>
      </c>
      <c r="AY4" s="5" t="s">
        <v>124</v>
      </c>
      <c r="AZ4" s="5" t="s">
        <v>125</v>
      </c>
      <c r="BC4" s="227"/>
      <c r="BD4" s="33" t="s">
        <v>17</v>
      </c>
      <c r="BE4" s="34" t="s">
        <v>18</v>
      </c>
      <c r="BF4" s="33" t="s">
        <v>17</v>
      </c>
      <c r="BG4" s="34" t="s">
        <v>18</v>
      </c>
      <c r="BH4" s="33" t="s">
        <v>17</v>
      </c>
      <c r="BI4" s="34" t="s">
        <v>18</v>
      </c>
      <c r="BJ4" s="33" t="s">
        <v>17</v>
      </c>
      <c r="BK4" s="34" t="s">
        <v>18</v>
      </c>
      <c r="BL4" s="33" t="s">
        <v>17</v>
      </c>
      <c r="BM4" s="34" t="s">
        <v>18</v>
      </c>
      <c r="BN4" s="33" t="s">
        <v>17</v>
      </c>
      <c r="BO4" s="34" t="s">
        <v>18</v>
      </c>
      <c r="BP4" s="33" t="s">
        <v>17</v>
      </c>
      <c r="BQ4" s="34" t="s">
        <v>18</v>
      </c>
      <c r="BR4" s="33" t="s">
        <v>17</v>
      </c>
      <c r="BS4" s="34" t="s">
        <v>18</v>
      </c>
      <c r="BT4" s="33" t="s">
        <v>17</v>
      </c>
      <c r="BU4" s="34" t="s">
        <v>18</v>
      </c>
      <c r="BV4" s="33" t="s">
        <v>17</v>
      </c>
      <c r="BW4" s="34" t="s">
        <v>18</v>
      </c>
      <c r="BX4" s="33" t="s">
        <v>17</v>
      </c>
      <c r="BY4" s="34" t="s">
        <v>18</v>
      </c>
      <c r="BZ4" s="33" t="s">
        <v>17</v>
      </c>
      <c r="CA4" s="34" t="s">
        <v>18</v>
      </c>
      <c r="CB4" s="33" t="s">
        <v>17</v>
      </c>
      <c r="CC4" s="34" t="s">
        <v>18</v>
      </c>
      <c r="CD4" s="33" t="s">
        <v>17</v>
      </c>
      <c r="CE4" s="34" t="s">
        <v>18</v>
      </c>
      <c r="CF4" s="33" t="s">
        <v>17</v>
      </c>
      <c r="CG4" s="34" t="s">
        <v>18</v>
      </c>
      <c r="CJ4" s="227"/>
      <c r="CK4" s="33" t="s">
        <v>17</v>
      </c>
      <c r="CL4" s="34" t="s">
        <v>18</v>
      </c>
      <c r="CM4" s="33" t="s">
        <v>17</v>
      </c>
      <c r="CN4" s="34" t="s">
        <v>18</v>
      </c>
      <c r="CO4" s="33" t="s">
        <v>17</v>
      </c>
      <c r="CP4" s="34" t="s">
        <v>18</v>
      </c>
      <c r="CQ4" s="33" t="s">
        <v>17</v>
      </c>
      <c r="CR4" s="34" t="s">
        <v>18</v>
      </c>
      <c r="CS4" s="33" t="s">
        <v>17</v>
      </c>
      <c r="CT4" s="34" t="s">
        <v>18</v>
      </c>
      <c r="CU4" s="33" t="s">
        <v>17</v>
      </c>
      <c r="CV4" s="34" t="s">
        <v>18</v>
      </c>
      <c r="CW4" s="33" t="s">
        <v>17</v>
      </c>
      <c r="CX4" s="34" t="s">
        <v>18</v>
      </c>
      <c r="CY4" s="33" t="s">
        <v>17</v>
      </c>
      <c r="CZ4" s="34" t="s">
        <v>18</v>
      </c>
      <c r="DA4" s="33" t="s">
        <v>17</v>
      </c>
      <c r="DB4" s="34" t="s">
        <v>18</v>
      </c>
      <c r="DC4" s="33" t="s">
        <v>17</v>
      </c>
      <c r="DD4" s="34" t="s">
        <v>18</v>
      </c>
      <c r="DE4" s="33" t="s">
        <v>17</v>
      </c>
      <c r="DF4" s="34" t="s">
        <v>18</v>
      </c>
      <c r="DG4" s="33" t="s">
        <v>17</v>
      </c>
      <c r="DH4" s="34" t="s">
        <v>18</v>
      </c>
      <c r="DI4" s="33" t="s">
        <v>17</v>
      </c>
      <c r="DJ4" s="34" t="s">
        <v>18</v>
      </c>
      <c r="DK4" s="33" t="s">
        <v>17</v>
      </c>
      <c r="DL4" s="34" t="s">
        <v>18</v>
      </c>
      <c r="DM4" s="33" t="s">
        <v>17</v>
      </c>
      <c r="DN4" s="34" t="s">
        <v>18</v>
      </c>
      <c r="DQ4" s="246"/>
      <c r="DR4" s="33" t="s">
        <v>17</v>
      </c>
      <c r="DS4" s="34" t="s">
        <v>18</v>
      </c>
      <c r="DT4" s="33" t="s">
        <v>17</v>
      </c>
      <c r="DU4" s="34" t="s">
        <v>18</v>
      </c>
      <c r="DV4" s="33" t="s">
        <v>17</v>
      </c>
      <c r="DW4" s="34" t="s">
        <v>18</v>
      </c>
      <c r="DX4" s="33" t="s">
        <v>17</v>
      </c>
      <c r="DY4" s="34" t="s">
        <v>18</v>
      </c>
      <c r="DZ4" s="33" t="s">
        <v>17</v>
      </c>
      <c r="EA4" s="34" t="s">
        <v>18</v>
      </c>
      <c r="EB4" s="33" t="s">
        <v>17</v>
      </c>
      <c r="EC4" s="34" t="s">
        <v>18</v>
      </c>
      <c r="ED4" s="33" t="s">
        <v>17</v>
      </c>
      <c r="EE4" s="34" t="s">
        <v>18</v>
      </c>
      <c r="EF4" s="33" t="s">
        <v>17</v>
      </c>
      <c r="EG4" s="34" t="s">
        <v>18</v>
      </c>
      <c r="EH4" s="33" t="s">
        <v>17</v>
      </c>
      <c r="EI4" s="34" t="s">
        <v>18</v>
      </c>
      <c r="EJ4" s="33" t="s">
        <v>17</v>
      </c>
      <c r="EK4" s="34" t="s">
        <v>18</v>
      </c>
      <c r="EL4" s="33" t="s">
        <v>17</v>
      </c>
      <c r="EM4" s="34" t="s">
        <v>18</v>
      </c>
      <c r="EN4" s="33" t="s">
        <v>17</v>
      </c>
      <c r="EO4" s="34" t="s">
        <v>18</v>
      </c>
      <c r="EP4" s="33" t="s">
        <v>17</v>
      </c>
      <c r="EQ4" s="34" t="s">
        <v>18</v>
      </c>
      <c r="ER4" s="33" t="s">
        <v>17</v>
      </c>
      <c r="ES4" s="34" t="s">
        <v>18</v>
      </c>
      <c r="ET4" s="33" t="s">
        <v>17</v>
      </c>
      <c r="EU4" s="34" t="s">
        <v>18</v>
      </c>
      <c r="EX4" s="246"/>
      <c r="EY4" s="192"/>
    </row>
    <row r="5" spans="2:155" ht="16.8" customHeight="1" thickBot="1" x14ac:dyDescent="0.35">
      <c r="B5" s="136" t="s">
        <v>19</v>
      </c>
      <c r="C5" s="37" t="s">
        <v>230</v>
      </c>
      <c r="D5" s="37" t="s">
        <v>59</v>
      </c>
      <c r="E5" s="37" t="s">
        <v>334</v>
      </c>
      <c r="F5" s="71" t="s">
        <v>6</v>
      </c>
      <c r="G5" s="76" t="s">
        <v>10</v>
      </c>
      <c r="H5" s="72" t="s">
        <v>12</v>
      </c>
      <c r="I5" s="48">
        <f>SUM(BD5:CG5)</f>
        <v>0</v>
      </c>
      <c r="L5" s="37" t="s">
        <v>59</v>
      </c>
      <c r="M5" s="6"/>
      <c r="N5" s="47"/>
      <c r="O5" s="6"/>
      <c r="P5" s="47"/>
      <c r="Q5" s="6"/>
      <c r="R5" s="47"/>
      <c r="S5" s="6"/>
      <c r="T5" s="47"/>
      <c r="U5" s="6"/>
      <c r="V5" s="47"/>
      <c r="W5" s="6"/>
      <c r="X5" s="47"/>
      <c r="Y5" s="6"/>
      <c r="Z5" s="47"/>
      <c r="AA5" s="6"/>
      <c r="AB5" s="47"/>
      <c r="AC5" s="6"/>
      <c r="AD5" s="47"/>
      <c r="AE5" s="6"/>
      <c r="AF5" s="47"/>
      <c r="AG5" s="6"/>
      <c r="AH5" s="47"/>
      <c r="AI5" s="6"/>
      <c r="AJ5" s="47"/>
      <c r="AK5" s="6"/>
      <c r="AL5" s="47"/>
      <c r="AM5" s="6"/>
      <c r="AN5" s="47"/>
      <c r="AO5" s="6"/>
      <c r="AP5" s="47"/>
      <c r="AS5" s="136" t="s">
        <v>19</v>
      </c>
      <c r="AT5" s="37" t="s">
        <v>334</v>
      </c>
      <c r="AU5" s="48">
        <f>SUM(CK5:DN5)</f>
        <v>0</v>
      </c>
      <c r="AX5" s="71" t="s">
        <v>125</v>
      </c>
      <c r="AY5" s="76" t="s">
        <v>596</v>
      </c>
      <c r="AZ5" s="72" t="s">
        <v>598</v>
      </c>
      <c r="BC5" s="37" t="s">
        <v>59</v>
      </c>
      <c r="BD5" s="6">
        <f>IF(M5 &lt;&gt; "", VLOOKUP(CONCATENATE("P", M5), pointsSystem2, 2, FALSE), 0)</f>
        <v>0</v>
      </c>
      <c r="BE5" s="47">
        <f>IF(N5 &lt;&gt; "", VLOOKUP(CONCATENATE("P", N5), pointsSystem2, 3, FALSE), 0)</f>
        <v>0</v>
      </c>
      <c r="BF5" s="6">
        <f>IF(O5 &lt;&gt; "", VLOOKUP(CONCATENATE("P", O5), pointsSystem2, 2, FALSE), 0)</f>
        <v>0</v>
      </c>
      <c r="BG5" s="47">
        <f>IF(P5 &lt;&gt; "", VLOOKUP(CONCATENATE("P", P5), pointsSystem2, 3, FALSE), 0)</f>
        <v>0</v>
      </c>
      <c r="BH5" s="6">
        <f>IF(Q5 &lt;&gt; "", VLOOKUP(CONCATENATE("P", Q5), pointsSystem2, 2, FALSE), 0)</f>
        <v>0</v>
      </c>
      <c r="BI5" s="47">
        <f>IF(R5 &lt;&gt; "", VLOOKUP(CONCATENATE("P", R5), pointsSystem2, 3, FALSE), 0)</f>
        <v>0</v>
      </c>
      <c r="BJ5" s="6">
        <f>IF(S5 &lt;&gt; "", VLOOKUP(CONCATENATE("P", S5), pointsSystem2, 2, FALSE), 0)</f>
        <v>0</v>
      </c>
      <c r="BK5" s="47">
        <f>IF(T5 &lt;&gt; "", VLOOKUP(CONCATENATE("P", T5), pointsSystem2, 3, FALSE), 0)</f>
        <v>0</v>
      </c>
      <c r="BL5" s="6">
        <f>IF(U5 &lt;&gt; "", VLOOKUP(CONCATENATE("P", U5), pointsSystem2, 2, FALSE), 0)</f>
        <v>0</v>
      </c>
      <c r="BM5" s="47">
        <f>IF(V5 &lt;&gt; "", VLOOKUP(CONCATENATE("P", V5), pointsSystem2, 3, FALSE), 0)</f>
        <v>0</v>
      </c>
      <c r="BN5" s="6">
        <f>IF(W5 &lt;&gt; "", VLOOKUP(CONCATENATE("P", W5), pointsSystem2, 2, FALSE), 0)</f>
        <v>0</v>
      </c>
      <c r="BO5" s="47">
        <f>IF(X5 &lt;&gt; "", VLOOKUP(CONCATENATE("P", X5), pointsSystem2, 3, FALSE), 0)</f>
        <v>0</v>
      </c>
      <c r="BP5" s="6">
        <f>IF(Y5 &lt;&gt; "", VLOOKUP(CONCATENATE("P", Y5), pointsSystem2, 2, FALSE), 0)</f>
        <v>0</v>
      </c>
      <c r="BQ5" s="47">
        <f>IF(Z5 &lt;&gt; "", VLOOKUP(CONCATENATE("P", Z5), pointsSystem2, 3, FALSE), 0)</f>
        <v>0</v>
      </c>
      <c r="BR5" s="6">
        <f>IF(AA5 &lt;&gt; "", VLOOKUP(CONCATENATE("P", AA5), pointsSystem2, 2, FALSE), 0)</f>
        <v>0</v>
      </c>
      <c r="BS5" s="47">
        <f>IF(AB5 &lt;&gt; "", VLOOKUP(CONCATENATE("P", AB5), pointsSystem2, 3, FALSE), 0)</f>
        <v>0</v>
      </c>
      <c r="BT5" s="6">
        <f>IF(AC5 &lt;&gt; "", VLOOKUP(CONCATENATE("P", AC5), pointsSystem2, 2, FALSE), 0)</f>
        <v>0</v>
      </c>
      <c r="BU5" s="47">
        <f>IF(AD5 &lt;&gt; "", VLOOKUP(CONCATENATE("P", AD5), pointsSystem2, 3, FALSE), 0)</f>
        <v>0</v>
      </c>
      <c r="BV5" s="6">
        <f>IF(AE5 &lt;&gt; "", VLOOKUP(CONCATENATE("P", AE5), pointsSystem2, 2, FALSE), 0)</f>
        <v>0</v>
      </c>
      <c r="BW5" s="47">
        <f>IF(AF5 &lt;&gt; "", VLOOKUP(CONCATENATE("P", AF5), pointsSystem2, 3, FALSE), 0)</f>
        <v>0</v>
      </c>
      <c r="BX5" s="6">
        <f>IF(AG5 &lt;&gt; "", VLOOKUP(CONCATENATE("P", AG5), pointsSystem2, 2, FALSE), 0)</f>
        <v>0</v>
      </c>
      <c r="BY5" s="47">
        <f>IF(AH5 &lt;&gt; "", VLOOKUP(CONCATENATE("P", AH5), pointsSystem2, 3, FALSE), 0)</f>
        <v>0</v>
      </c>
      <c r="BZ5" s="6">
        <f>IF(AI5 &lt;&gt; "", VLOOKUP(CONCATENATE("P", AI5), pointsSystem2, 2, FALSE), 0)</f>
        <v>0</v>
      </c>
      <c r="CA5" s="47">
        <f>IF(AJ5 &lt;&gt; "", VLOOKUP(CONCATENATE("P", AJ5), pointsSystem2, 3, FALSE), 0)</f>
        <v>0</v>
      </c>
      <c r="CB5" s="6">
        <f>IF(AK5 &lt;&gt; "", VLOOKUP(CONCATENATE("P", AK5), pointsSystem2, 2, FALSE), 0)</f>
        <v>0</v>
      </c>
      <c r="CC5" s="47">
        <f>IF(AL5 &lt;&gt; "", VLOOKUP(CONCATENATE("P", AL5), pointsSystem2, 3, FALSE), 0)</f>
        <v>0</v>
      </c>
      <c r="CD5" s="6">
        <f>IF(AM5 &lt;&gt; "", VLOOKUP(CONCATENATE("P", AM5), pointsSystem2, 2, FALSE), 0)</f>
        <v>0</v>
      </c>
      <c r="CE5" s="47">
        <f>IF(AN5 &lt;&gt; "", VLOOKUP(CONCATENATE("P", AN5), pointsSystem2, 3, FALSE), 0)</f>
        <v>0</v>
      </c>
      <c r="CF5" s="6">
        <f>AO5 * 3</f>
        <v>0</v>
      </c>
      <c r="CG5" s="47">
        <f>AP5 * 1</f>
        <v>0</v>
      </c>
      <c r="CJ5" s="37" t="s">
        <v>334</v>
      </c>
      <c r="CK5" s="6">
        <f t="shared" ref="CK5:DL5" si="0">MAX(BD5:BD9) + LARGE(BD5:BD9, 2)</f>
        <v>0</v>
      </c>
      <c r="CL5" s="47">
        <f t="shared" si="0"/>
        <v>0</v>
      </c>
      <c r="CM5" s="6">
        <f t="shared" si="0"/>
        <v>0</v>
      </c>
      <c r="CN5" s="47">
        <f t="shared" si="0"/>
        <v>0</v>
      </c>
      <c r="CO5" s="6">
        <f t="shared" si="0"/>
        <v>0</v>
      </c>
      <c r="CP5" s="47">
        <f t="shared" si="0"/>
        <v>0</v>
      </c>
      <c r="CQ5" s="6">
        <f t="shared" si="0"/>
        <v>0</v>
      </c>
      <c r="CR5" s="47">
        <f t="shared" si="0"/>
        <v>0</v>
      </c>
      <c r="CS5" s="6">
        <f t="shared" si="0"/>
        <v>0</v>
      </c>
      <c r="CT5" s="47">
        <f t="shared" si="0"/>
        <v>0</v>
      </c>
      <c r="CU5" s="6">
        <f t="shared" si="0"/>
        <v>0</v>
      </c>
      <c r="CV5" s="47">
        <f t="shared" si="0"/>
        <v>0</v>
      </c>
      <c r="CW5" s="6">
        <f t="shared" si="0"/>
        <v>0</v>
      </c>
      <c r="CX5" s="47">
        <f t="shared" si="0"/>
        <v>0</v>
      </c>
      <c r="CY5" s="6">
        <f t="shared" si="0"/>
        <v>0</v>
      </c>
      <c r="CZ5" s="47">
        <f t="shared" si="0"/>
        <v>0</v>
      </c>
      <c r="DA5" s="6">
        <f t="shared" si="0"/>
        <v>0</v>
      </c>
      <c r="DB5" s="47">
        <f t="shared" si="0"/>
        <v>0</v>
      </c>
      <c r="DC5" s="6">
        <f t="shared" si="0"/>
        <v>0</v>
      </c>
      <c r="DD5" s="47">
        <f t="shared" si="0"/>
        <v>0</v>
      </c>
      <c r="DE5" s="6">
        <f t="shared" si="0"/>
        <v>0</v>
      </c>
      <c r="DF5" s="47">
        <f t="shared" si="0"/>
        <v>0</v>
      </c>
      <c r="DG5" s="6">
        <f t="shared" si="0"/>
        <v>0</v>
      </c>
      <c r="DH5" s="47">
        <f t="shared" si="0"/>
        <v>0</v>
      </c>
      <c r="DI5" s="6">
        <f t="shared" si="0"/>
        <v>0</v>
      </c>
      <c r="DJ5" s="47">
        <f t="shared" si="0"/>
        <v>0</v>
      </c>
      <c r="DK5" s="6">
        <f t="shared" si="0"/>
        <v>0</v>
      </c>
      <c r="DL5" s="47">
        <f t="shared" si="0"/>
        <v>0</v>
      </c>
      <c r="DM5" s="6">
        <f>SUM(CF5:CF9)</f>
        <v>0</v>
      </c>
      <c r="DN5" s="47">
        <f>SUM(CG5:CG9)</f>
        <v>0</v>
      </c>
      <c r="DQ5" s="237" t="s">
        <v>34</v>
      </c>
      <c r="DR5" s="6">
        <f>MAX(BD10:BD13, BD22:BD25, BD30:BD33)</f>
        <v>0</v>
      </c>
      <c r="DS5" s="47">
        <f t="shared" ref="DS5:ES5" si="1">MAX(BE10:BE13, BE22:BE25, BE30:BE33)</f>
        <v>0</v>
      </c>
      <c r="DT5" s="6">
        <f t="shared" si="1"/>
        <v>0</v>
      </c>
      <c r="DU5" s="47">
        <f t="shared" si="1"/>
        <v>0</v>
      </c>
      <c r="DV5" s="6">
        <f t="shared" si="1"/>
        <v>0</v>
      </c>
      <c r="DW5" s="47">
        <f t="shared" si="1"/>
        <v>0</v>
      </c>
      <c r="DX5" s="6">
        <f t="shared" si="1"/>
        <v>0</v>
      </c>
      <c r="DY5" s="47">
        <f t="shared" si="1"/>
        <v>0</v>
      </c>
      <c r="DZ5" s="6">
        <f t="shared" si="1"/>
        <v>0</v>
      </c>
      <c r="EA5" s="47">
        <f t="shared" si="1"/>
        <v>0</v>
      </c>
      <c r="EB5" s="6">
        <f t="shared" si="1"/>
        <v>0</v>
      </c>
      <c r="EC5" s="47">
        <f t="shared" si="1"/>
        <v>0</v>
      </c>
      <c r="ED5" s="6">
        <f t="shared" si="1"/>
        <v>0</v>
      </c>
      <c r="EE5" s="47">
        <f t="shared" si="1"/>
        <v>0</v>
      </c>
      <c r="EF5" s="6">
        <f t="shared" si="1"/>
        <v>0</v>
      </c>
      <c r="EG5" s="47">
        <f t="shared" si="1"/>
        <v>0</v>
      </c>
      <c r="EH5" s="6">
        <f t="shared" si="1"/>
        <v>0</v>
      </c>
      <c r="EI5" s="47">
        <f t="shared" si="1"/>
        <v>0</v>
      </c>
      <c r="EJ5" s="6">
        <f t="shared" si="1"/>
        <v>0</v>
      </c>
      <c r="EK5" s="47">
        <f t="shared" si="1"/>
        <v>0</v>
      </c>
      <c r="EL5" s="6">
        <f t="shared" si="1"/>
        <v>0</v>
      </c>
      <c r="EM5" s="47">
        <f t="shared" si="1"/>
        <v>0</v>
      </c>
      <c r="EN5" s="6">
        <f t="shared" si="1"/>
        <v>0</v>
      </c>
      <c r="EO5" s="47">
        <f t="shared" si="1"/>
        <v>0</v>
      </c>
      <c r="EP5" s="6">
        <f t="shared" si="1"/>
        <v>0</v>
      </c>
      <c r="EQ5" s="47">
        <f t="shared" si="1"/>
        <v>0</v>
      </c>
      <c r="ER5" s="6">
        <f t="shared" si="1"/>
        <v>0</v>
      </c>
      <c r="ES5" s="47">
        <f t="shared" si="1"/>
        <v>0</v>
      </c>
      <c r="ET5" s="247">
        <f>SUM(CF10:CF13, CF22:CF25, CF30:CF33)</f>
        <v>0</v>
      </c>
      <c r="EU5" s="253">
        <f>SUM(CG10:CG13, CG22:CG25, CG30:CG33)</f>
        <v>0</v>
      </c>
      <c r="EX5" s="237" t="s">
        <v>34</v>
      </c>
      <c r="EY5" s="192">
        <f>SUM(DR5:EU6)</f>
        <v>0</v>
      </c>
    </row>
    <row r="6" spans="2:155" ht="16.8" customHeight="1" thickBot="1" x14ac:dyDescent="0.35">
      <c r="B6" s="8" t="s">
        <v>20</v>
      </c>
      <c r="C6" s="37" t="s">
        <v>188</v>
      </c>
      <c r="D6" s="37" t="s">
        <v>81</v>
      </c>
      <c r="E6" s="37" t="s">
        <v>334</v>
      </c>
      <c r="F6" s="71" t="s">
        <v>6</v>
      </c>
      <c r="G6" s="76" t="s">
        <v>10</v>
      </c>
      <c r="H6" s="72" t="s">
        <v>12</v>
      </c>
      <c r="I6" s="11">
        <f>SUM(BD6:CG6)</f>
        <v>0</v>
      </c>
      <c r="L6" s="37" t="s">
        <v>81</v>
      </c>
      <c r="M6" s="5"/>
      <c r="N6" s="16"/>
      <c r="O6" s="5"/>
      <c r="P6" s="16"/>
      <c r="Q6" s="5"/>
      <c r="R6" s="16"/>
      <c r="S6" s="5"/>
      <c r="T6" s="16"/>
      <c r="U6" s="5"/>
      <c r="V6" s="16"/>
      <c r="W6" s="5"/>
      <c r="X6" s="16"/>
      <c r="Y6" s="5"/>
      <c r="Z6" s="16"/>
      <c r="AA6" s="5"/>
      <c r="AB6" s="16"/>
      <c r="AC6" s="5"/>
      <c r="AD6" s="16"/>
      <c r="AE6" s="5"/>
      <c r="AF6" s="16"/>
      <c r="AG6" s="5"/>
      <c r="AH6" s="16"/>
      <c r="AI6" s="5"/>
      <c r="AJ6" s="16"/>
      <c r="AK6" s="5"/>
      <c r="AL6" s="16"/>
      <c r="AM6" s="5"/>
      <c r="AN6" s="16"/>
      <c r="AO6" s="5"/>
      <c r="AP6" s="16"/>
      <c r="AS6" s="8" t="s">
        <v>20</v>
      </c>
      <c r="AT6" s="35" t="s">
        <v>308</v>
      </c>
      <c r="AU6" s="11">
        <f t="shared" ref="AU6:AU14" si="2">SUM(CK6:DN6)</f>
        <v>0</v>
      </c>
      <c r="AX6" s="71" t="s">
        <v>125</v>
      </c>
      <c r="AY6" s="76" t="s">
        <v>596</v>
      </c>
      <c r="AZ6" s="72" t="s">
        <v>598</v>
      </c>
      <c r="BC6" s="37" t="s">
        <v>81</v>
      </c>
      <c r="BD6" s="6">
        <f>IF(M6 &lt;&gt; "", VLOOKUP(CONCATENATE("P", M6), pointsSystem2, 2, FALSE), 0)</f>
        <v>0</v>
      </c>
      <c r="BE6" s="47">
        <f>IF(N6 &lt;&gt; "", VLOOKUP(CONCATENATE("P", N6), pointsSystem2, 3, FALSE), 0)</f>
        <v>0</v>
      </c>
      <c r="BF6" s="6">
        <f>IF(O6 &lt;&gt; "", VLOOKUP(CONCATENATE("P", O6), pointsSystem2, 2, FALSE), 0)</f>
        <v>0</v>
      </c>
      <c r="BG6" s="47">
        <f>IF(P6 &lt;&gt; "", VLOOKUP(CONCATENATE("P", P6), pointsSystem2, 3, FALSE), 0)</f>
        <v>0</v>
      </c>
      <c r="BH6" s="6">
        <f>IF(Q6 &lt;&gt; "", VLOOKUP(CONCATENATE("P", Q6), pointsSystem2, 2, FALSE), 0)</f>
        <v>0</v>
      </c>
      <c r="BI6" s="47">
        <f>IF(R6 &lt;&gt; "", VLOOKUP(CONCATENATE("P", R6), pointsSystem2, 3, FALSE), 0)</f>
        <v>0</v>
      </c>
      <c r="BJ6" s="6">
        <f>IF(S6 &lt;&gt; "", VLOOKUP(CONCATENATE("P", S6), pointsSystem2, 2, FALSE), 0)</f>
        <v>0</v>
      </c>
      <c r="BK6" s="47">
        <f>IF(T6 &lt;&gt; "", VLOOKUP(CONCATENATE("P", T6), pointsSystem2, 3, FALSE), 0)</f>
        <v>0</v>
      </c>
      <c r="BL6" s="6">
        <f>IF(U6 &lt;&gt; "", VLOOKUP(CONCATENATE("P", U6), pointsSystem2, 2, FALSE), 0)</f>
        <v>0</v>
      </c>
      <c r="BM6" s="47">
        <f>IF(V6 &lt;&gt; "", VLOOKUP(CONCATENATE("P", V6), pointsSystem2, 3, FALSE), 0)</f>
        <v>0</v>
      </c>
      <c r="BN6" s="6">
        <f>IF(W6 &lt;&gt; "", VLOOKUP(CONCATENATE("P", W6), pointsSystem2, 2, FALSE), 0)</f>
        <v>0</v>
      </c>
      <c r="BO6" s="47">
        <f>IF(X6 &lt;&gt; "", VLOOKUP(CONCATENATE("P", X6), pointsSystem2, 3, FALSE), 0)</f>
        <v>0</v>
      </c>
      <c r="BP6" s="6">
        <f>IF(Y6 &lt;&gt; "", VLOOKUP(CONCATENATE("P", Y6), pointsSystem2, 2, FALSE), 0)</f>
        <v>0</v>
      </c>
      <c r="BQ6" s="47">
        <f>IF(Z6 &lt;&gt; "", VLOOKUP(CONCATENATE("P", Z6), pointsSystem2, 3, FALSE), 0)</f>
        <v>0</v>
      </c>
      <c r="BR6" s="6">
        <f>IF(AA6 &lt;&gt; "", VLOOKUP(CONCATENATE("P", AA6), pointsSystem2, 2, FALSE), 0)</f>
        <v>0</v>
      </c>
      <c r="BS6" s="47">
        <f>IF(AB6 &lt;&gt; "", VLOOKUP(CONCATENATE("P", AB6), pointsSystem2, 3, FALSE), 0)</f>
        <v>0</v>
      </c>
      <c r="BT6" s="6">
        <f>IF(AC6 &lt;&gt; "", VLOOKUP(CONCATENATE("P", AC6), pointsSystem2, 2, FALSE), 0)</f>
        <v>0</v>
      </c>
      <c r="BU6" s="47">
        <f>IF(AD6 &lt;&gt; "", VLOOKUP(CONCATENATE("P", AD6), pointsSystem2, 3, FALSE), 0)</f>
        <v>0</v>
      </c>
      <c r="BV6" s="6">
        <f>IF(AE6 &lt;&gt; "", VLOOKUP(CONCATENATE("P", AE6), pointsSystem2, 2, FALSE), 0)</f>
        <v>0</v>
      </c>
      <c r="BW6" s="47">
        <f>IF(AF6 &lt;&gt; "", VLOOKUP(CONCATENATE("P", AF6), pointsSystem2, 3, FALSE), 0)</f>
        <v>0</v>
      </c>
      <c r="BX6" s="6">
        <f>IF(AG6 &lt;&gt; "", VLOOKUP(CONCATENATE("P", AG6), pointsSystem2, 2, FALSE), 0)</f>
        <v>0</v>
      </c>
      <c r="BY6" s="47">
        <f>IF(AH6 &lt;&gt; "", VLOOKUP(CONCATENATE("P", AH6), pointsSystem2, 3, FALSE), 0)</f>
        <v>0</v>
      </c>
      <c r="BZ6" s="6">
        <f>IF(AI6 &lt;&gt; "", VLOOKUP(CONCATENATE("P", AI6), pointsSystem2, 2, FALSE), 0)</f>
        <v>0</v>
      </c>
      <c r="CA6" s="47">
        <f>IF(AJ6 &lt;&gt; "", VLOOKUP(CONCATENATE("P", AJ6), pointsSystem2, 3, FALSE), 0)</f>
        <v>0</v>
      </c>
      <c r="CB6" s="6">
        <f>IF(AK6 &lt;&gt; "", VLOOKUP(CONCATENATE("P", AK6), pointsSystem2, 2, FALSE), 0)</f>
        <v>0</v>
      </c>
      <c r="CC6" s="47">
        <f>IF(AL6 &lt;&gt; "", VLOOKUP(CONCATENATE("P", AL6), pointsSystem2, 3, FALSE), 0)</f>
        <v>0</v>
      </c>
      <c r="CD6" s="6">
        <f>IF(AM6 &lt;&gt; "", VLOOKUP(CONCATENATE("P", AM6), pointsSystem2, 2, FALSE), 0)</f>
        <v>0</v>
      </c>
      <c r="CE6" s="47">
        <f>IF(AN6 &lt;&gt; "", VLOOKUP(CONCATENATE("P", AN6), pointsSystem2, 3, FALSE), 0)</f>
        <v>0</v>
      </c>
      <c r="CF6" s="6">
        <f>AO6 * 3</f>
        <v>0</v>
      </c>
      <c r="CG6" s="47">
        <f>AP6 * 1</f>
        <v>0</v>
      </c>
      <c r="CJ6" s="35" t="s">
        <v>308</v>
      </c>
      <c r="CK6" s="6">
        <f t="shared" ref="CK6:DL6" si="3">MAX(BD10:BD13) + LARGE(BD10:BD13, 2)</f>
        <v>0</v>
      </c>
      <c r="CL6" s="47">
        <f t="shared" si="3"/>
        <v>0</v>
      </c>
      <c r="CM6" s="6">
        <f t="shared" si="3"/>
        <v>0</v>
      </c>
      <c r="CN6" s="47">
        <f t="shared" si="3"/>
        <v>0</v>
      </c>
      <c r="CO6" s="6">
        <f t="shared" si="3"/>
        <v>0</v>
      </c>
      <c r="CP6" s="47">
        <f t="shared" si="3"/>
        <v>0</v>
      </c>
      <c r="CQ6" s="6">
        <f t="shared" si="3"/>
        <v>0</v>
      </c>
      <c r="CR6" s="47">
        <f t="shared" si="3"/>
        <v>0</v>
      </c>
      <c r="CS6" s="6">
        <f t="shared" si="3"/>
        <v>0</v>
      </c>
      <c r="CT6" s="47">
        <f t="shared" si="3"/>
        <v>0</v>
      </c>
      <c r="CU6" s="6">
        <f t="shared" si="3"/>
        <v>0</v>
      </c>
      <c r="CV6" s="47">
        <f t="shared" si="3"/>
        <v>0</v>
      </c>
      <c r="CW6" s="6">
        <f t="shared" si="3"/>
        <v>0</v>
      </c>
      <c r="CX6" s="47">
        <f t="shared" si="3"/>
        <v>0</v>
      </c>
      <c r="CY6" s="6">
        <f t="shared" si="3"/>
        <v>0</v>
      </c>
      <c r="CZ6" s="47">
        <f t="shared" si="3"/>
        <v>0</v>
      </c>
      <c r="DA6" s="6">
        <f t="shared" si="3"/>
        <v>0</v>
      </c>
      <c r="DB6" s="47">
        <f t="shared" si="3"/>
        <v>0</v>
      </c>
      <c r="DC6" s="6">
        <f t="shared" si="3"/>
        <v>0</v>
      </c>
      <c r="DD6" s="47">
        <f t="shared" si="3"/>
        <v>0</v>
      </c>
      <c r="DE6" s="6">
        <f t="shared" si="3"/>
        <v>0</v>
      </c>
      <c r="DF6" s="47">
        <f t="shared" si="3"/>
        <v>0</v>
      </c>
      <c r="DG6" s="6">
        <f t="shared" si="3"/>
        <v>0</v>
      </c>
      <c r="DH6" s="47">
        <f t="shared" si="3"/>
        <v>0</v>
      </c>
      <c r="DI6" s="6">
        <f t="shared" si="3"/>
        <v>0</v>
      </c>
      <c r="DJ6" s="47">
        <f t="shared" si="3"/>
        <v>0</v>
      </c>
      <c r="DK6" s="6">
        <f t="shared" si="3"/>
        <v>0</v>
      </c>
      <c r="DL6" s="47">
        <f t="shared" si="3"/>
        <v>0</v>
      </c>
      <c r="DM6" s="6">
        <f>SUM(CF10:CF13)</f>
        <v>0</v>
      </c>
      <c r="DN6" s="47">
        <f>SUM(CG10:CG13)</f>
        <v>0</v>
      </c>
      <c r="DQ6" s="238"/>
      <c r="DR6" s="6">
        <f>LARGE((BD10:BD13, BD22:BD25, BD30:BD33), 2)</f>
        <v>0</v>
      </c>
      <c r="DS6" s="47">
        <f>LARGE((BE10:BE13, BE22:BE25, BE30:BE33), 2)</f>
        <v>0</v>
      </c>
      <c r="DT6" s="6">
        <f>LARGE((BF10:BF13, BF22:BF25, BF30:BF33), 2)</f>
        <v>0</v>
      </c>
      <c r="DU6" s="47">
        <f>LARGE((BG10:BG13, BG22:BG25, BG30:BG33), 2)</f>
        <v>0</v>
      </c>
      <c r="DV6" s="6">
        <f>LARGE((BH10:BH13, BH22:BH25, BH30:BH33), 2)</f>
        <v>0</v>
      </c>
      <c r="DW6" s="47">
        <f>LARGE((BI10:BI13, BI22:BI25, BI30:BI33), 2)</f>
        <v>0</v>
      </c>
      <c r="DX6" s="6">
        <f>LARGE((BJ10:BJ13, BJ22:BJ25, BJ30:BJ33), 2)</f>
        <v>0</v>
      </c>
      <c r="DY6" s="47">
        <f>LARGE((BK10:BK13, BK22:BK25, BK30:BK33), 2)</f>
        <v>0</v>
      </c>
      <c r="DZ6" s="6">
        <f>LARGE((BL10:BL13, BL22:BL25, BL30:BL33), 2)</f>
        <v>0</v>
      </c>
      <c r="EA6" s="47">
        <f>LARGE((BM10:BM13, BM22:BM25, BM30:BM33), 2)</f>
        <v>0</v>
      </c>
      <c r="EB6" s="6">
        <f>LARGE((BN10:BN13, BN22:BN25, BN30:BN33), 2)</f>
        <v>0</v>
      </c>
      <c r="EC6" s="47">
        <f>LARGE((BO10:BO13, BO22:BO25, BO30:BO33), 2)</f>
        <v>0</v>
      </c>
      <c r="ED6" s="6">
        <f>LARGE((BP10:BP13, BP22:BP25, BP30:BP33), 2)</f>
        <v>0</v>
      </c>
      <c r="EE6" s="47">
        <f>LARGE((BQ10:BQ13, BQ22:BQ25, BQ30:BQ33), 2)</f>
        <v>0</v>
      </c>
      <c r="EF6" s="6">
        <f>LARGE((BR10:BR13, BR22:BR25, BR30:BR33), 2)</f>
        <v>0</v>
      </c>
      <c r="EG6" s="47">
        <f>LARGE((BS10:BS13, BS22:BS25, BS30:BS33), 2)</f>
        <v>0</v>
      </c>
      <c r="EH6" s="6">
        <f>LARGE((BT10:BT13, BT22:BT25, BT30:BT33), 2)</f>
        <v>0</v>
      </c>
      <c r="EI6" s="47">
        <f>LARGE((BU10:BU13, BU22:BU25, BU30:BU33), 2)</f>
        <v>0</v>
      </c>
      <c r="EJ6" s="6">
        <f>LARGE((BV10:BV13, BV22:BV25, BV30:BV33), 2)</f>
        <v>0</v>
      </c>
      <c r="EK6" s="47">
        <f>LARGE((BW10:BW13, BW22:BW25, BW30:BW33), 2)</f>
        <v>0</v>
      </c>
      <c r="EL6" s="6">
        <f>LARGE((BX10:BX13, BX22:BX25, BX30:BX33), 2)</f>
        <v>0</v>
      </c>
      <c r="EM6" s="47">
        <f>LARGE((BY10:BY13, BY22:BY25, BY30:BY33), 2)</f>
        <v>0</v>
      </c>
      <c r="EN6" s="6">
        <f>LARGE((BZ10:BZ13, BZ22:BZ25, BZ30:BZ33), 2)</f>
        <v>0</v>
      </c>
      <c r="EO6" s="47">
        <f>LARGE((CA10:CA13, CA22:CA25, CA30:CA33), 2)</f>
        <v>0</v>
      </c>
      <c r="EP6" s="6">
        <f>LARGE((CB10:CB13, CB22:CB25, CB30:CB33), 2)</f>
        <v>0</v>
      </c>
      <c r="EQ6" s="47">
        <f>LARGE((CC10:CC13, CC22:CC25, CC30:CC33), 2)</f>
        <v>0</v>
      </c>
      <c r="ER6" s="6">
        <f>LARGE((CD10:CD13, CD22:CD25, CD30:CD33), 2)</f>
        <v>0</v>
      </c>
      <c r="ES6" s="47">
        <f>LARGE((CE10:CE13, CE22:CE25, CE30:CE33), 2)</f>
        <v>0</v>
      </c>
      <c r="ET6" s="248"/>
      <c r="EU6" s="254"/>
      <c r="EX6" s="238"/>
      <c r="EY6" s="192"/>
    </row>
    <row r="7" spans="2:155" ht="16.8" customHeight="1" thickBot="1" x14ac:dyDescent="0.35">
      <c r="B7" s="8" t="s">
        <v>21</v>
      </c>
      <c r="C7" s="37" t="s">
        <v>189</v>
      </c>
      <c r="D7" s="37" t="s">
        <v>322</v>
      </c>
      <c r="E7" s="37" t="s">
        <v>334</v>
      </c>
      <c r="F7" s="71" t="s">
        <v>6</v>
      </c>
      <c r="G7" s="76" t="s">
        <v>10</v>
      </c>
      <c r="H7" s="72" t="s">
        <v>12</v>
      </c>
      <c r="I7" s="11">
        <f>SUM(BD7:CG7)</f>
        <v>0</v>
      </c>
      <c r="L7" s="37" t="s">
        <v>322</v>
      </c>
      <c r="M7" s="5"/>
      <c r="N7" s="16"/>
      <c r="O7" s="5"/>
      <c r="P7" s="16"/>
      <c r="Q7" s="5"/>
      <c r="R7" s="16"/>
      <c r="S7" s="5"/>
      <c r="T7" s="16"/>
      <c r="U7" s="5"/>
      <c r="V7" s="16"/>
      <c r="W7" s="5"/>
      <c r="X7" s="16"/>
      <c r="Y7" s="5"/>
      <c r="Z7" s="16"/>
      <c r="AA7" s="5"/>
      <c r="AB7" s="16"/>
      <c r="AC7" s="5"/>
      <c r="AD7" s="16"/>
      <c r="AE7" s="5"/>
      <c r="AF7" s="16"/>
      <c r="AG7" s="5"/>
      <c r="AH7" s="16"/>
      <c r="AI7" s="5"/>
      <c r="AJ7" s="16"/>
      <c r="AK7" s="5"/>
      <c r="AL7" s="16"/>
      <c r="AM7" s="5"/>
      <c r="AN7" s="16"/>
      <c r="AO7" s="5"/>
      <c r="AP7" s="16"/>
      <c r="AS7" s="8" t="s">
        <v>21</v>
      </c>
      <c r="AT7" s="162" t="s">
        <v>711</v>
      </c>
      <c r="AU7" s="11">
        <f t="shared" si="2"/>
        <v>0</v>
      </c>
      <c r="AX7" s="71" t="s">
        <v>125</v>
      </c>
      <c r="AY7" s="76" t="s">
        <v>596</v>
      </c>
      <c r="AZ7" s="72" t="s">
        <v>598</v>
      </c>
      <c r="BC7" s="37" t="s">
        <v>322</v>
      </c>
      <c r="BD7" s="6">
        <f>IF(M7 &lt;&gt; "", VLOOKUP(CONCATENATE("P", M7), pointsSystem2, 2, FALSE), 0)</f>
        <v>0</v>
      </c>
      <c r="BE7" s="47">
        <f>IF(N7 &lt;&gt; "", VLOOKUP(CONCATENATE("P", N7), pointsSystem2, 3, FALSE), 0)</f>
        <v>0</v>
      </c>
      <c r="BF7" s="6">
        <f>IF(O7 &lt;&gt; "", VLOOKUP(CONCATENATE("P", O7), pointsSystem2, 2, FALSE), 0)</f>
        <v>0</v>
      </c>
      <c r="BG7" s="47">
        <f>IF(P7 &lt;&gt; "", VLOOKUP(CONCATENATE("P", P7), pointsSystem2, 3, FALSE), 0)</f>
        <v>0</v>
      </c>
      <c r="BH7" s="6">
        <f>IF(Q7 &lt;&gt; "", VLOOKUP(CONCATENATE("P", Q7), pointsSystem2, 2, FALSE), 0)</f>
        <v>0</v>
      </c>
      <c r="BI7" s="47">
        <f>IF(R7 &lt;&gt; "", VLOOKUP(CONCATENATE("P", R7), pointsSystem2, 3, FALSE), 0)</f>
        <v>0</v>
      </c>
      <c r="BJ7" s="6">
        <f>IF(S7 &lt;&gt; "", VLOOKUP(CONCATENATE("P", S7), pointsSystem2, 2, FALSE), 0)</f>
        <v>0</v>
      </c>
      <c r="BK7" s="47">
        <f>IF(T7 &lt;&gt; "", VLOOKUP(CONCATENATE("P", T7), pointsSystem2, 3, FALSE), 0)</f>
        <v>0</v>
      </c>
      <c r="BL7" s="6">
        <f>IF(U7 &lt;&gt; "", VLOOKUP(CONCATENATE("P", U7), pointsSystem2, 2, FALSE), 0)</f>
        <v>0</v>
      </c>
      <c r="BM7" s="47">
        <f>IF(V7 &lt;&gt; "", VLOOKUP(CONCATENATE("P", V7), pointsSystem2, 3, FALSE), 0)</f>
        <v>0</v>
      </c>
      <c r="BN7" s="6">
        <f>IF(W7 &lt;&gt; "", VLOOKUP(CONCATENATE("P", W7), pointsSystem2, 2, FALSE), 0)</f>
        <v>0</v>
      </c>
      <c r="BO7" s="47">
        <f>IF(X7 &lt;&gt; "", VLOOKUP(CONCATENATE("P", X7), pointsSystem2, 3, FALSE), 0)</f>
        <v>0</v>
      </c>
      <c r="BP7" s="6">
        <f>IF(Y7 &lt;&gt; "", VLOOKUP(CONCATENATE("P", Y7), pointsSystem2, 2, FALSE), 0)</f>
        <v>0</v>
      </c>
      <c r="BQ7" s="47">
        <f>IF(Z7 &lt;&gt; "", VLOOKUP(CONCATENATE("P", Z7), pointsSystem2, 3, FALSE), 0)</f>
        <v>0</v>
      </c>
      <c r="BR7" s="6">
        <f>IF(AA7 &lt;&gt; "", VLOOKUP(CONCATENATE("P", AA7), pointsSystem2, 2, FALSE), 0)</f>
        <v>0</v>
      </c>
      <c r="BS7" s="47">
        <f>IF(AB7 &lt;&gt; "", VLOOKUP(CONCATENATE("P", AB7), pointsSystem2, 3, FALSE), 0)</f>
        <v>0</v>
      </c>
      <c r="BT7" s="6">
        <f>IF(AC7 &lt;&gt; "", VLOOKUP(CONCATENATE("P", AC7), pointsSystem2, 2, FALSE), 0)</f>
        <v>0</v>
      </c>
      <c r="BU7" s="47">
        <f>IF(AD7 &lt;&gt; "", VLOOKUP(CONCATENATE("P", AD7), pointsSystem2, 3, FALSE), 0)</f>
        <v>0</v>
      </c>
      <c r="BV7" s="6">
        <f>IF(AE7 &lt;&gt; "", VLOOKUP(CONCATENATE("P", AE7), pointsSystem2, 2, FALSE), 0)</f>
        <v>0</v>
      </c>
      <c r="BW7" s="47">
        <f>IF(AF7 &lt;&gt; "", VLOOKUP(CONCATENATE("P", AF7), pointsSystem2, 3, FALSE), 0)</f>
        <v>0</v>
      </c>
      <c r="BX7" s="6">
        <f>IF(AG7 &lt;&gt; "", VLOOKUP(CONCATENATE("P", AG7), pointsSystem2, 2, FALSE), 0)</f>
        <v>0</v>
      </c>
      <c r="BY7" s="47">
        <f>IF(AH7 &lt;&gt; "", VLOOKUP(CONCATENATE("P", AH7), pointsSystem2, 3, FALSE), 0)</f>
        <v>0</v>
      </c>
      <c r="BZ7" s="6">
        <f>IF(AI7 &lt;&gt; "", VLOOKUP(CONCATENATE("P", AI7), pointsSystem2, 2, FALSE), 0)</f>
        <v>0</v>
      </c>
      <c r="CA7" s="47">
        <f>IF(AJ7 &lt;&gt; "", VLOOKUP(CONCATENATE("P", AJ7), pointsSystem2, 3, FALSE), 0)</f>
        <v>0</v>
      </c>
      <c r="CB7" s="6">
        <f>IF(AK7 &lt;&gt; "", VLOOKUP(CONCATENATE("P", AK7), pointsSystem2, 2, FALSE), 0)</f>
        <v>0</v>
      </c>
      <c r="CC7" s="47">
        <f>IF(AL7 &lt;&gt; "", VLOOKUP(CONCATENATE("P", AL7), pointsSystem2, 3, FALSE), 0)</f>
        <v>0</v>
      </c>
      <c r="CD7" s="6">
        <f>IF(AM7 &lt;&gt; "", VLOOKUP(CONCATENATE("P", AM7), pointsSystem2, 2, FALSE), 0)</f>
        <v>0</v>
      </c>
      <c r="CE7" s="47">
        <f>IF(AN7 &lt;&gt; "", VLOOKUP(CONCATENATE("P", AN7), pointsSystem2, 3, FALSE), 0)</f>
        <v>0</v>
      </c>
      <c r="CF7" s="6">
        <f>AO7 * 3</f>
        <v>0</v>
      </c>
      <c r="CG7" s="47">
        <f>AP7 * 1</f>
        <v>0</v>
      </c>
      <c r="CJ7" s="162" t="s">
        <v>711</v>
      </c>
      <c r="CK7" s="6">
        <f t="shared" ref="CK7:DL7" si="4">MAX(BD14:BD17) + LARGE(BD14:BD17, 2)</f>
        <v>0</v>
      </c>
      <c r="CL7" s="47">
        <f t="shared" si="4"/>
        <v>0</v>
      </c>
      <c r="CM7" s="6">
        <f t="shared" si="4"/>
        <v>0</v>
      </c>
      <c r="CN7" s="47">
        <f t="shared" si="4"/>
        <v>0</v>
      </c>
      <c r="CO7" s="6">
        <f t="shared" si="4"/>
        <v>0</v>
      </c>
      <c r="CP7" s="47">
        <f t="shared" si="4"/>
        <v>0</v>
      </c>
      <c r="CQ7" s="6">
        <f t="shared" si="4"/>
        <v>0</v>
      </c>
      <c r="CR7" s="47">
        <f t="shared" si="4"/>
        <v>0</v>
      </c>
      <c r="CS7" s="6">
        <f t="shared" si="4"/>
        <v>0</v>
      </c>
      <c r="CT7" s="47">
        <f t="shared" si="4"/>
        <v>0</v>
      </c>
      <c r="CU7" s="6">
        <f t="shared" si="4"/>
        <v>0</v>
      </c>
      <c r="CV7" s="47">
        <f t="shared" si="4"/>
        <v>0</v>
      </c>
      <c r="CW7" s="6">
        <f t="shared" si="4"/>
        <v>0</v>
      </c>
      <c r="CX7" s="47">
        <f t="shared" si="4"/>
        <v>0</v>
      </c>
      <c r="CY7" s="6">
        <f t="shared" si="4"/>
        <v>0</v>
      </c>
      <c r="CZ7" s="47">
        <f t="shared" si="4"/>
        <v>0</v>
      </c>
      <c r="DA7" s="6">
        <f t="shared" si="4"/>
        <v>0</v>
      </c>
      <c r="DB7" s="47">
        <f t="shared" si="4"/>
        <v>0</v>
      </c>
      <c r="DC7" s="6">
        <f t="shared" si="4"/>
        <v>0</v>
      </c>
      <c r="DD7" s="47">
        <f t="shared" si="4"/>
        <v>0</v>
      </c>
      <c r="DE7" s="6">
        <f t="shared" si="4"/>
        <v>0</v>
      </c>
      <c r="DF7" s="47">
        <f t="shared" si="4"/>
        <v>0</v>
      </c>
      <c r="DG7" s="6">
        <f t="shared" si="4"/>
        <v>0</v>
      </c>
      <c r="DH7" s="47">
        <f t="shared" si="4"/>
        <v>0</v>
      </c>
      <c r="DI7" s="6">
        <f t="shared" si="4"/>
        <v>0</v>
      </c>
      <c r="DJ7" s="47">
        <f t="shared" si="4"/>
        <v>0</v>
      </c>
      <c r="DK7" s="6">
        <f t="shared" si="4"/>
        <v>0</v>
      </c>
      <c r="DL7" s="47">
        <f t="shared" si="4"/>
        <v>0</v>
      </c>
      <c r="DM7" s="6">
        <f>SUM(CF14:CF17)</f>
        <v>0</v>
      </c>
      <c r="DN7" s="47">
        <f>SUM(CG14:CG17)</f>
        <v>0</v>
      </c>
      <c r="DQ7" s="239" t="s">
        <v>439</v>
      </c>
      <c r="DR7" s="6">
        <f>MAX(BD18:BD21, BD34:BD37)</f>
        <v>0</v>
      </c>
      <c r="DS7" s="47">
        <f t="shared" ref="DS7:ES7" si="5">MAX(BE18:BE21, BE34:BE37)</f>
        <v>0</v>
      </c>
      <c r="DT7" s="6">
        <f t="shared" si="5"/>
        <v>0</v>
      </c>
      <c r="DU7" s="47">
        <f t="shared" si="5"/>
        <v>0</v>
      </c>
      <c r="DV7" s="6">
        <f t="shared" si="5"/>
        <v>0</v>
      </c>
      <c r="DW7" s="47">
        <f t="shared" si="5"/>
        <v>0</v>
      </c>
      <c r="DX7" s="6">
        <f t="shared" si="5"/>
        <v>0</v>
      </c>
      <c r="DY7" s="47">
        <f t="shared" si="5"/>
        <v>0</v>
      </c>
      <c r="DZ7" s="6">
        <f t="shared" si="5"/>
        <v>0</v>
      </c>
      <c r="EA7" s="47">
        <f t="shared" si="5"/>
        <v>0</v>
      </c>
      <c r="EB7" s="6">
        <f t="shared" si="5"/>
        <v>0</v>
      </c>
      <c r="EC7" s="47">
        <f t="shared" si="5"/>
        <v>0</v>
      </c>
      <c r="ED7" s="6">
        <f t="shared" si="5"/>
        <v>0</v>
      </c>
      <c r="EE7" s="47">
        <f t="shared" si="5"/>
        <v>0</v>
      </c>
      <c r="EF7" s="6">
        <f t="shared" si="5"/>
        <v>0</v>
      </c>
      <c r="EG7" s="47">
        <f t="shared" si="5"/>
        <v>0</v>
      </c>
      <c r="EH7" s="6">
        <f t="shared" si="5"/>
        <v>0</v>
      </c>
      <c r="EI7" s="47">
        <f t="shared" si="5"/>
        <v>0</v>
      </c>
      <c r="EJ7" s="6">
        <f t="shared" si="5"/>
        <v>0</v>
      </c>
      <c r="EK7" s="47">
        <f t="shared" si="5"/>
        <v>0</v>
      </c>
      <c r="EL7" s="6">
        <f t="shared" si="5"/>
        <v>0</v>
      </c>
      <c r="EM7" s="47">
        <f t="shared" si="5"/>
        <v>0</v>
      </c>
      <c r="EN7" s="6">
        <f t="shared" si="5"/>
        <v>0</v>
      </c>
      <c r="EO7" s="47">
        <f t="shared" si="5"/>
        <v>0</v>
      </c>
      <c r="EP7" s="6">
        <f t="shared" si="5"/>
        <v>0</v>
      </c>
      <c r="EQ7" s="47">
        <f t="shared" si="5"/>
        <v>0</v>
      </c>
      <c r="ER7" s="6">
        <f t="shared" si="5"/>
        <v>0</v>
      </c>
      <c r="ES7" s="47">
        <f t="shared" si="5"/>
        <v>0</v>
      </c>
      <c r="ET7" s="249">
        <f>SUM(CF18:CF21, CF34:CF37)</f>
        <v>0</v>
      </c>
      <c r="EU7" s="251">
        <f>SUM(CG18:CG21, CG34:CG37)</f>
        <v>0</v>
      </c>
      <c r="EX7" s="239" t="s">
        <v>439</v>
      </c>
      <c r="EY7" s="192">
        <f>SUM(DR7:EU8)</f>
        <v>0</v>
      </c>
    </row>
    <row r="8" spans="2:155" ht="16.8" customHeight="1" thickBot="1" x14ac:dyDescent="0.35">
      <c r="B8" s="8" t="s">
        <v>22</v>
      </c>
      <c r="C8" s="37" t="s">
        <v>225</v>
      </c>
      <c r="D8" s="37" t="s">
        <v>63</v>
      </c>
      <c r="E8" s="37" t="s">
        <v>334</v>
      </c>
      <c r="F8" s="71" t="s">
        <v>6</v>
      </c>
      <c r="G8" s="76" t="s">
        <v>10</v>
      </c>
      <c r="H8" s="72" t="s">
        <v>12</v>
      </c>
      <c r="I8" s="11">
        <f>SUM(BD8:CG8)</f>
        <v>0</v>
      </c>
      <c r="L8" s="37" t="s">
        <v>63</v>
      </c>
      <c r="M8" s="5"/>
      <c r="N8" s="16"/>
      <c r="O8" s="5"/>
      <c r="P8" s="16"/>
      <c r="Q8" s="5"/>
      <c r="R8" s="16"/>
      <c r="S8" s="5"/>
      <c r="T8" s="16"/>
      <c r="U8" s="5"/>
      <c r="V8" s="16"/>
      <c r="W8" s="5"/>
      <c r="X8" s="16"/>
      <c r="Y8" s="5"/>
      <c r="Z8" s="16"/>
      <c r="AA8" s="5"/>
      <c r="AB8" s="16"/>
      <c r="AC8" s="5"/>
      <c r="AD8" s="16"/>
      <c r="AE8" s="5"/>
      <c r="AF8" s="16"/>
      <c r="AG8" s="5"/>
      <c r="AH8" s="16"/>
      <c r="AI8" s="5"/>
      <c r="AJ8" s="16"/>
      <c r="AK8" s="5"/>
      <c r="AL8" s="16"/>
      <c r="AM8" s="5"/>
      <c r="AN8" s="16"/>
      <c r="AO8" s="5"/>
      <c r="AP8" s="16"/>
      <c r="AS8" s="8" t="s">
        <v>22</v>
      </c>
      <c r="AT8" s="139" t="s">
        <v>607</v>
      </c>
      <c r="AU8" s="11">
        <f t="shared" si="2"/>
        <v>0</v>
      </c>
      <c r="AX8" s="71" t="s">
        <v>125</v>
      </c>
      <c r="AY8" s="76" t="s">
        <v>596</v>
      </c>
      <c r="AZ8" s="72" t="s">
        <v>598</v>
      </c>
      <c r="BC8" s="37" t="s">
        <v>63</v>
      </c>
      <c r="BD8" s="6">
        <f>IF(M8 &lt;&gt; "", VLOOKUP(CONCATENATE("P", M8), pointsSystem2, 2, FALSE), 0)</f>
        <v>0</v>
      </c>
      <c r="BE8" s="47">
        <f>IF(N8 &lt;&gt; "", VLOOKUP(CONCATENATE("P", N8), pointsSystem2, 3, FALSE), 0)</f>
        <v>0</v>
      </c>
      <c r="BF8" s="6">
        <f>IF(O8 &lt;&gt; "", VLOOKUP(CONCATENATE("P", O8), pointsSystem2, 2, FALSE), 0)</f>
        <v>0</v>
      </c>
      <c r="BG8" s="47">
        <f>IF(P8 &lt;&gt; "", VLOOKUP(CONCATENATE("P", P8), pointsSystem2, 3, FALSE), 0)</f>
        <v>0</v>
      </c>
      <c r="BH8" s="6">
        <f>IF(Q8 &lt;&gt; "", VLOOKUP(CONCATENATE("P", Q8), pointsSystem2, 2, FALSE), 0)</f>
        <v>0</v>
      </c>
      <c r="BI8" s="47">
        <f>IF(R8 &lt;&gt; "", VLOOKUP(CONCATENATE("P", R8), pointsSystem2, 3, FALSE), 0)</f>
        <v>0</v>
      </c>
      <c r="BJ8" s="6">
        <f>IF(S8 &lt;&gt; "", VLOOKUP(CONCATENATE("P", S8), pointsSystem2, 2, FALSE), 0)</f>
        <v>0</v>
      </c>
      <c r="BK8" s="47">
        <f>IF(T8 &lt;&gt; "", VLOOKUP(CONCATENATE("P", T8), pointsSystem2, 3, FALSE), 0)</f>
        <v>0</v>
      </c>
      <c r="BL8" s="6">
        <f>IF(U8 &lt;&gt; "", VLOOKUP(CONCATENATE("P", U8), pointsSystem2, 2, FALSE), 0)</f>
        <v>0</v>
      </c>
      <c r="BM8" s="47">
        <f>IF(V8 &lt;&gt; "", VLOOKUP(CONCATENATE("P", V8), pointsSystem2, 3, FALSE), 0)</f>
        <v>0</v>
      </c>
      <c r="BN8" s="6">
        <f>IF(W8 &lt;&gt; "", VLOOKUP(CONCATENATE("P", W8), pointsSystem2, 2, FALSE), 0)</f>
        <v>0</v>
      </c>
      <c r="BO8" s="47">
        <f>IF(X8 &lt;&gt; "", VLOOKUP(CONCATENATE("P", X8), pointsSystem2, 3, FALSE), 0)</f>
        <v>0</v>
      </c>
      <c r="BP8" s="6">
        <f>IF(Y8 &lt;&gt; "", VLOOKUP(CONCATENATE("P", Y8), pointsSystem2, 2, FALSE), 0)</f>
        <v>0</v>
      </c>
      <c r="BQ8" s="47">
        <f>IF(Z8 &lt;&gt; "", VLOOKUP(CONCATENATE("P", Z8), pointsSystem2, 3, FALSE), 0)</f>
        <v>0</v>
      </c>
      <c r="BR8" s="6">
        <f>IF(AA8 &lt;&gt; "", VLOOKUP(CONCATENATE("P", AA8), pointsSystem2, 2, FALSE), 0)</f>
        <v>0</v>
      </c>
      <c r="BS8" s="47">
        <f>IF(AB8 &lt;&gt; "", VLOOKUP(CONCATENATE("P", AB8), pointsSystem2, 3, FALSE), 0)</f>
        <v>0</v>
      </c>
      <c r="BT8" s="6">
        <f>IF(AC8 &lt;&gt; "", VLOOKUP(CONCATENATE("P", AC8), pointsSystem2, 2, FALSE), 0)</f>
        <v>0</v>
      </c>
      <c r="BU8" s="47">
        <f>IF(AD8 &lt;&gt; "", VLOOKUP(CONCATENATE("P", AD8), pointsSystem2, 3, FALSE), 0)</f>
        <v>0</v>
      </c>
      <c r="BV8" s="6">
        <f>IF(AE8 &lt;&gt; "", VLOOKUP(CONCATENATE("P", AE8), pointsSystem2, 2, FALSE), 0)</f>
        <v>0</v>
      </c>
      <c r="BW8" s="47">
        <f>IF(AF8 &lt;&gt; "", VLOOKUP(CONCATENATE("P", AF8), pointsSystem2, 3, FALSE), 0)</f>
        <v>0</v>
      </c>
      <c r="BX8" s="6">
        <f>IF(AG8 &lt;&gt; "", VLOOKUP(CONCATENATE("P", AG8), pointsSystem2, 2, FALSE), 0)</f>
        <v>0</v>
      </c>
      <c r="BY8" s="47">
        <f>IF(AH8 &lt;&gt; "", VLOOKUP(CONCATENATE("P", AH8), pointsSystem2, 3, FALSE), 0)</f>
        <v>0</v>
      </c>
      <c r="BZ8" s="6">
        <f>IF(AI8 &lt;&gt; "", VLOOKUP(CONCATENATE("P", AI8), pointsSystem2, 2, FALSE), 0)</f>
        <v>0</v>
      </c>
      <c r="CA8" s="47">
        <f>IF(AJ8 &lt;&gt; "", VLOOKUP(CONCATENATE("P", AJ8), pointsSystem2, 3, FALSE), 0)</f>
        <v>0</v>
      </c>
      <c r="CB8" s="6">
        <f>IF(AK8 &lt;&gt; "", VLOOKUP(CONCATENATE("P", AK8), pointsSystem2, 2, FALSE), 0)</f>
        <v>0</v>
      </c>
      <c r="CC8" s="47">
        <f>IF(AL8 &lt;&gt; "", VLOOKUP(CONCATENATE("P", AL8), pointsSystem2, 3, FALSE), 0)</f>
        <v>0</v>
      </c>
      <c r="CD8" s="6">
        <f>IF(AM8 &lt;&gt; "", VLOOKUP(CONCATENATE("P", AM8), pointsSystem2, 2, FALSE), 0)</f>
        <v>0</v>
      </c>
      <c r="CE8" s="47">
        <f>IF(AN8 &lt;&gt; "", VLOOKUP(CONCATENATE("P", AN8), pointsSystem2, 3, FALSE), 0)</f>
        <v>0</v>
      </c>
      <c r="CF8" s="6">
        <f>AO8 * 3</f>
        <v>0</v>
      </c>
      <c r="CG8" s="47">
        <f>AP8 * 1</f>
        <v>0</v>
      </c>
      <c r="CJ8" s="139" t="s">
        <v>607</v>
      </c>
      <c r="CK8" s="6">
        <f t="shared" ref="CK8:DL8" si="6">MAX(BD18:BD21) + LARGE(BD18:BD21, 2)</f>
        <v>0</v>
      </c>
      <c r="CL8" s="47">
        <f t="shared" si="6"/>
        <v>0</v>
      </c>
      <c r="CM8" s="6">
        <f t="shared" si="6"/>
        <v>0</v>
      </c>
      <c r="CN8" s="47">
        <f t="shared" si="6"/>
        <v>0</v>
      </c>
      <c r="CO8" s="6">
        <f t="shared" si="6"/>
        <v>0</v>
      </c>
      <c r="CP8" s="47">
        <f t="shared" si="6"/>
        <v>0</v>
      </c>
      <c r="CQ8" s="6">
        <f t="shared" si="6"/>
        <v>0</v>
      </c>
      <c r="CR8" s="47">
        <f t="shared" si="6"/>
        <v>0</v>
      </c>
      <c r="CS8" s="6">
        <f t="shared" si="6"/>
        <v>0</v>
      </c>
      <c r="CT8" s="47">
        <f t="shared" si="6"/>
        <v>0</v>
      </c>
      <c r="CU8" s="6">
        <f t="shared" si="6"/>
        <v>0</v>
      </c>
      <c r="CV8" s="47">
        <f t="shared" si="6"/>
        <v>0</v>
      </c>
      <c r="CW8" s="6">
        <f t="shared" si="6"/>
        <v>0</v>
      </c>
      <c r="CX8" s="47">
        <f t="shared" si="6"/>
        <v>0</v>
      </c>
      <c r="CY8" s="6">
        <f t="shared" si="6"/>
        <v>0</v>
      </c>
      <c r="CZ8" s="47">
        <f t="shared" si="6"/>
        <v>0</v>
      </c>
      <c r="DA8" s="6">
        <f t="shared" si="6"/>
        <v>0</v>
      </c>
      <c r="DB8" s="47">
        <f t="shared" si="6"/>
        <v>0</v>
      </c>
      <c r="DC8" s="6">
        <f t="shared" si="6"/>
        <v>0</v>
      </c>
      <c r="DD8" s="47">
        <f t="shared" si="6"/>
        <v>0</v>
      </c>
      <c r="DE8" s="6">
        <f t="shared" si="6"/>
        <v>0</v>
      </c>
      <c r="DF8" s="47">
        <f t="shared" si="6"/>
        <v>0</v>
      </c>
      <c r="DG8" s="6">
        <f t="shared" si="6"/>
        <v>0</v>
      </c>
      <c r="DH8" s="47">
        <f t="shared" si="6"/>
        <v>0</v>
      </c>
      <c r="DI8" s="6">
        <f t="shared" si="6"/>
        <v>0</v>
      </c>
      <c r="DJ8" s="47">
        <f t="shared" si="6"/>
        <v>0</v>
      </c>
      <c r="DK8" s="6">
        <f t="shared" si="6"/>
        <v>0</v>
      </c>
      <c r="DL8" s="47">
        <f t="shared" si="6"/>
        <v>0</v>
      </c>
      <c r="DM8" s="6">
        <f>SUM(CF18:CF21)</f>
        <v>0</v>
      </c>
      <c r="DN8" s="47">
        <f>SUM(CG18:CG21)</f>
        <v>0</v>
      </c>
      <c r="DQ8" s="240"/>
      <c r="DR8" s="6">
        <f>LARGE((BD18:BD21, BD34:BD37), 2)</f>
        <v>0</v>
      </c>
      <c r="DS8" s="47">
        <f>LARGE((BE18:BE21, BE34:BE37), 2)</f>
        <v>0</v>
      </c>
      <c r="DT8" s="6">
        <f>LARGE((BF18:BF21, BF34:BF37), 2)</f>
        <v>0</v>
      </c>
      <c r="DU8" s="47">
        <f>LARGE((BG18:BG21, BG34:BG37), 2)</f>
        <v>0</v>
      </c>
      <c r="DV8" s="6">
        <f>LARGE((BH18:BH21, BH34:BH37), 2)</f>
        <v>0</v>
      </c>
      <c r="DW8" s="47">
        <f>LARGE((BI18:BI21, BI34:BI37), 2)</f>
        <v>0</v>
      </c>
      <c r="DX8" s="6">
        <f>LARGE((BJ18:BJ21, BJ34:BJ37), 2)</f>
        <v>0</v>
      </c>
      <c r="DY8" s="47">
        <f>LARGE((BK18:BK21, BK34:BK37), 2)</f>
        <v>0</v>
      </c>
      <c r="DZ8" s="6">
        <f>LARGE((BL18:BL21, BL34:BL37), 2)</f>
        <v>0</v>
      </c>
      <c r="EA8" s="47">
        <f>LARGE((BM18:BM21, BM34:BM37), 2)</f>
        <v>0</v>
      </c>
      <c r="EB8" s="6">
        <f>LARGE((BN18:BN21, BN34:BN37), 2)</f>
        <v>0</v>
      </c>
      <c r="EC8" s="47">
        <f>LARGE((BO18:BO21, BO34:BO37), 2)</f>
        <v>0</v>
      </c>
      <c r="ED8" s="6">
        <f>LARGE((BP18:BP21, BP34:BP37), 2)</f>
        <v>0</v>
      </c>
      <c r="EE8" s="47">
        <f>LARGE((BQ18:BQ21, BQ34:BQ37), 2)</f>
        <v>0</v>
      </c>
      <c r="EF8" s="6">
        <f>LARGE((BR18:BR21, BR34:BR37), 2)</f>
        <v>0</v>
      </c>
      <c r="EG8" s="47">
        <f>LARGE((BS18:BS21, BS34:BS37), 2)</f>
        <v>0</v>
      </c>
      <c r="EH8" s="6">
        <f>LARGE((BT18:BT21, BT34:BT37), 2)</f>
        <v>0</v>
      </c>
      <c r="EI8" s="47">
        <f>LARGE((BU18:BU21, BU34:BU37), 2)</f>
        <v>0</v>
      </c>
      <c r="EJ8" s="6">
        <f>LARGE((BV18:BV21, BV34:BV37), 2)</f>
        <v>0</v>
      </c>
      <c r="EK8" s="47">
        <f>LARGE((BW18:BW21, BW34:BW37), 2)</f>
        <v>0</v>
      </c>
      <c r="EL8" s="6">
        <f>LARGE((BX18:BX21, BX34:BX37), 2)</f>
        <v>0</v>
      </c>
      <c r="EM8" s="47">
        <f>LARGE((BY18:BY21, BY34:BY37), 2)</f>
        <v>0</v>
      </c>
      <c r="EN8" s="6">
        <f>LARGE((BZ18:BZ21, BZ34:BZ37), 2)</f>
        <v>0</v>
      </c>
      <c r="EO8" s="47">
        <f>LARGE((CA18:CA21, CA34:CA37), 2)</f>
        <v>0</v>
      </c>
      <c r="EP8" s="6">
        <f>LARGE((CB18:CB21, CB34:CB37), 2)</f>
        <v>0</v>
      </c>
      <c r="EQ8" s="47">
        <f>LARGE((CC18:CC21, CC34:CC37), 2)</f>
        <v>0</v>
      </c>
      <c r="ER8" s="6">
        <f>LARGE((CD18:CD21, CD34:CD37), 2)</f>
        <v>0</v>
      </c>
      <c r="ES8" s="47">
        <f>LARGE((CE18:CE21, CE34:CE37), 2)</f>
        <v>0</v>
      </c>
      <c r="ET8" s="248"/>
      <c r="EU8" s="254"/>
      <c r="EX8" s="240"/>
      <c r="EY8" s="192"/>
    </row>
    <row r="9" spans="2:155" ht="16.8" customHeight="1" thickBot="1" x14ac:dyDescent="0.35">
      <c r="B9" s="8" t="s">
        <v>23</v>
      </c>
      <c r="C9" s="35" t="s">
        <v>236</v>
      </c>
      <c r="D9" s="35" t="s">
        <v>65</v>
      </c>
      <c r="E9" s="35" t="s">
        <v>308</v>
      </c>
      <c r="F9" s="70" t="s">
        <v>34</v>
      </c>
      <c r="G9" s="75" t="s">
        <v>8</v>
      </c>
      <c r="H9" s="67" t="s">
        <v>13</v>
      </c>
      <c r="I9" s="11">
        <f>SUM(BD10:CG10)</f>
        <v>0</v>
      </c>
      <c r="L9" s="35" t="s">
        <v>65</v>
      </c>
      <c r="M9" s="5"/>
      <c r="N9" s="16"/>
      <c r="O9" s="5"/>
      <c r="P9" s="16"/>
      <c r="Q9" s="5"/>
      <c r="R9" s="16"/>
      <c r="S9" s="5"/>
      <c r="T9" s="16"/>
      <c r="U9" s="5"/>
      <c r="V9" s="16"/>
      <c r="W9" s="5"/>
      <c r="X9" s="16"/>
      <c r="Y9" s="5"/>
      <c r="Z9" s="16"/>
      <c r="AA9" s="5"/>
      <c r="AB9" s="16"/>
      <c r="AC9" s="5"/>
      <c r="AD9" s="16"/>
      <c r="AE9" s="5"/>
      <c r="AF9" s="16"/>
      <c r="AG9" s="5"/>
      <c r="AH9" s="16"/>
      <c r="AI9" s="5"/>
      <c r="AJ9" s="16"/>
      <c r="AK9" s="5"/>
      <c r="AL9" s="16"/>
      <c r="AM9" s="5"/>
      <c r="AN9" s="16"/>
      <c r="AO9" s="5"/>
      <c r="AP9" s="16"/>
      <c r="AS9" s="8" t="s">
        <v>23</v>
      </c>
      <c r="AT9" s="43" t="s">
        <v>437</v>
      </c>
      <c r="AU9" s="11">
        <f t="shared" si="2"/>
        <v>0</v>
      </c>
      <c r="AX9" s="71" t="s">
        <v>125</v>
      </c>
      <c r="AY9" s="76" t="s">
        <v>596</v>
      </c>
      <c r="AZ9" s="72" t="s">
        <v>598</v>
      </c>
      <c r="BC9" s="37" t="s">
        <v>340</v>
      </c>
      <c r="BD9" s="6">
        <f>IF(M38 &lt;&gt; "", VLOOKUP(CONCATENATE("P", M38), pointsSystem2, 2, FALSE), 0)</f>
        <v>0</v>
      </c>
      <c r="BE9" s="47">
        <f>IF(N38 &lt;&gt; "", VLOOKUP(CONCATENATE("P", N38), pointsSystem2, 3, FALSE), 0)</f>
        <v>0</v>
      </c>
      <c r="BF9" s="6">
        <f>IF(O38 &lt;&gt; "", VLOOKUP(CONCATENATE("P", O38), pointsSystem2, 2, FALSE), 0)</f>
        <v>0</v>
      </c>
      <c r="BG9" s="47">
        <f>IF(P38 &lt;&gt; "", VLOOKUP(CONCATENATE("P", P38), pointsSystem2, 3, FALSE), 0)</f>
        <v>0</v>
      </c>
      <c r="BH9" s="6">
        <f>IF(Q38 &lt;&gt; "", VLOOKUP(CONCATENATE("P", Q38), pointsSystem2, 2, FALSE), 0)</f>
        <v>0</v>
      </c>
      <c r="BI9" s="47">
        <f>IF(R38 &lt;&gt; "", VLOOKUP(CONCATENATE("P", R38), pointsSystem2, 3, FALSE), 0)</f>
        <v>0</v>
      </c>
      <c r="BJ9" s="6">
        <f>IF(S38 &lt;&gt; "", VLOOKUP(CONCATENATE("P", S38), pointsSystem2, 2, FALSE), 0)</f>
        <v>0</v>
      </c>
      <c r="BK9" s="47">
        <f>IF(T38 &lt;&gt; "", VLOOKUP(CONCATENATE("P", T38), pointsSystem2, 3, FALSE), 0)</f>
        <v>0</v>
      </c>
      <c r="BL9" s="6">
        <f>IF(U38 &lt;&gt; "", VLOOKUP(CONCATENATE("P", U38), pointsSystem2, 2, FALSE), 0)</f>
        <v>0</v>
      </c>
      <c r="BM9" s="47">
        <f>IF(V38 &lt;&gt; "", VLOOKUP(CONCATENATE("P", V38), pointsSystem2, 3, FALSE), 0)</f>
        <v>0</v>
      </c>
      <c r="BN9" s="6">
        <f>IF(W38 &lt;&gt; "", VLOOKUP(CONCATENATE("P", W38), pointsSystem2, 2, FALSE), 0)</f>
        <v>0</v>
      </c>
      <c r="BO9" s="47">
        <f>IF(X38 &lt;&gt; "", VLOOKUP(CONCATENATE("P", X38), pointsSystem2, 3, FALSE), 0)</f>
        <v>0</v>
      </c>
      <c r="BP9" s="6">
        <f>IF(Y38 &lt;&gt; "", VLOOKUP(CONCATENATE("P", Y38), pointsSystem2, 2, FALSE), 0)</f>
        <v>0</v>
      </c>
      <c r="BQ9" s="47">
        <f>IF(Z38 &lt;&gt; "", VLOOKUP(CONCATENATE("P", Z38), pointsSystem2, 3, FALSE), 0)</f>
        <v>0</v>
      </c>
      <c r="BR9" s="6">
        <f>IF(AA38 &lt;&gt; "", VLOOKUP(CONCATENATE("P", AA38), pointsSystem2, 2, FALSE), 0)</f>
        <v>0</v>
      </c>
      <c r="BS9" s="47">
        <f>IF(AB38 &lt;&gt; "", VLOOKUP(CONCATENATE("P", AB38), pointsSystem2, 3, FALSE), 0)</f>
        <v>0</v>
      </c>
      <c r="BT9" s="6">
        <f>IF(AC38 &lt;&gt; "", VLOOKUP(CONCATENATE("P", AC38), pointsSystem2, 2, FALSE), 0)</f>
        <v>0</v>
      </c>
      <c r="BU9" s="47">
        <f>IF(AD38 &lt;&gt; "", VLOOKUP(CONCATENATE("P", AD38), pointsSystem2, 3, FALSE), 0)</f>
        <v>0</v>
      </c>
      <c r="BV9" s="6">
        <f>IF(AE38 &lt;&gt; "", VLOOKUP(CONCATENATE("P", AE38), pointsSystem2, 2, FALSE), 0)</f>
        <v>0</v>
      </c>
      <c r="BW9" s="47">
        <f>IF(AF38 &lt;&gt; "", VLOOKUP(CONCATENATE("P", AF38), pointsSystem2, 3, FALSE), 0)</f>
        <v>0</v>
      </c>
      <c r="BX9" s="6">
        <f>IF(AG38 &lt;&gt; "", VLOOKUP(CONCATENATE("P", AG38), pointsSystem2, 2, FALSE), 0)</f>
        <v>0</v>
      </c>
      <c r="BY9" s="47">
        <f>IF(AH38 &lt;&gt; "", VLOOKUP(CONCATENATE("P", AH38), pointsSystem2, 3, FALSE), 0)</f>
        <v>0</v>
      </c>
      <c r="BZ9" s="6">
        <f>IF(AI38 &lt;&gt; "", VLOOKUP(CONCATENATE("P", AI38), pointsSystem2, 2, FALSE), 0)</f>
        <v>0</v>
      </c>
      <c r="CA9" s="47">
        <f>IF(AJ38 &lt;&gt; "", VLOOKUP(CONCATENATE("P", AJ38), pointsSystem2, 3, FALSE), 0)</f>
        <v>0</v>
      </c>
      <c r="CB9" s="6">
        <f>IF(AK38 &lt;&gt; "", VLOOKUP(CONCATENATE("P", AK38), pointsSystem2, 2, FALSE), 0)</f>
        <v>0</v>
      </c>
      <c r="CC9" s="47">
        <f>IF(AL38 &lt;&gt; "", VLOOKUP(CONCATENATE("P", AL38), pointsSystem2, 3, FALSE), 0)</f>
        <v>0</v>
      </c>
      <c r="CD9" s="6">
        <f>IF(AM38 &lt;&gt; "", VLOOKUP(CONCATENATE("P", AM38), pointsSystem2, 2, FALSE), 0)</f>
        <v>0</v>
      </c>
      <c r="CE9" s="47">
        <f>IF(AN38 &lt;&gt; "", VLOOKUP(CONCATENATE("P", AN38), pointsSystem2, 3, FALSE), 0)</f>
        <v>0</v>
      </c>
      <c r="CF9" s="6">
        <f>AO38 * 3</f>
        <v>0</v>
      </c>
      <c r="CG9" s="47">
        <f>AP38 * 1</f>
        <v>0</v>
      </c>
      <c r="CJ9" s="43" t="s">
        <v>437</v>
      </c>
      <c r="CK9" s="6">
        <f t="shared" ref="CK9:DL9" si="7">MAX(BD22:BD25) + LARGE(BD22:BD25, 2)</f>
        <v>0</v>
      </c>
      <c r="CL9" s="47">
        <f t="shared" si="7"/>
        <v>0</v>
      </c>
      <c r="CM9" s="6">
        <f t="shared" si="7"/>
        <v>0</v>
      </c>
      <c r="CN9" s="47">
        <f t="shared" si="7"/>
        <v>0</v>
      </c>
      <c r="CO9" s="6">
        <f t="shared" si="7"/>
        <v>0</v>
      </c>
      <c r="CP9" s="47">
        <f t="shared" si="7"/>
        <v>0</v>
      </c>
      <c r="CQ9" s="6">
        <f t="shared" si="7"/>
        <v>0</v>
      </c>
      <c r="CR9" s="47">
        <f t="shared" si="7"/>
        <v>0</v>
      </c>
      <c r="CS9" s="6">
        <f t="shared" si="7"/>
        <v>0</v>
      </c>
      <c r="CT9" s="47">
        <f t="shared" si="7"/>
        <v>0</v>
      </c>
      <c r="CU9" s="6">
        <f t="shared" si="7"/>
        <v>0</v>
      </c>
      <c r="CV9" s="47">
        <f t="shared" si="7"/>
        <v>0</v>
      </c>
      <c r="CW9" s="6">
        <f t="shared" si="7"/>
        <v>0</v>
      </c>
      <c r="CX9" s="47">
        <f t="shared" si="7"/>
        <v>0</v>
      </c>
      <c r="CY9" s="6">
        <f t="shared" si="7"/>
        <v>0</v>
      </c>
      <c r="CZ9" s="47">
        <f t="shared" si="7"/>
        <v>0</v>
      </c>
      <c r="DA9" s="6">
        <f t="shared" si="7"/>
        <v>0</v>
      </c>
      <c r="DB9" s="47">
        <f t="shared" si="7"/>
        <v>0</v>
      </c>
      <c r="DC9" s="6">
        <f t="shared" si="7"/>
        <v>0</v>
      </c>
      <c r="DD9" s="47">
        <f t="shared" si="7"/>
        <v>0</v>
      </c>
      <c r="DE9" s="6">
        <f t="shared" si="7"/>
        <v>0</v>
      </c>
      <c r="DF9" s="47">
        <f t="shared" si="7"/>
        <v>0</v>
      </c>
      <c r="DG9" s="6">
        <f t="shared" si="7"/>
        <v>0</v>
      </c>
      <c r="DH9" s="47">
        <f t="shared" si="7"/>
        <v>0</v>
      </c>
      <c r="DI9" s="6">
        <f t="shared" si="7"/>
        <v>0</v>
      </c>
      <c r="DJ9" s="47">
        <f t="shared" si="7"/>
        <v>0</v>
      </c>
      <c r="DK9" s="6">
        <f t="shared" si="7"/>
        <v>0</v>
      </c>
      <c r="DL9" s="47">
        <f t="shared" si="7"/>
        <v>0</v>
      </c>
      <c r="DM9" s="6">
        <f>SUM(CF22:CF25)</f>
        <v>0</v>
      </c>
      <c r="DN9" s="47">
        <f>SUM(CG22:CG25)</f>
        <v>0</v>
      </c>
      <c r="DQ9" s="241" t="s">
        <v>5</v>
      </c>
      <c r="DR9" s="6">
        <f>MAX(BD26:BD29, BD42:BD45)</f>
        <v>0</v>
      </c>
      <c r="DS9" s="47">
        <f t="shared" ref="DS9:ES9" si="8">MAX(BE26:BE29, BE42:BE45)</f>
        <v>0</v>
      </c>
      <c r="DT9" s="6">
        <f t="shared" si="8"/>
        <v>0</v>
      </c>
      <c r="DU9" s="47">
        <f t="shared" si="8"/>
        <v>0</v>
      </c>
      <c r="DV9" s="6">
        <f t="shared" si="8"/>
        <v>0</v>
      </c>
      <c r="DW9" s="47">
        <f t="shared" si="8"/>
        <v>0</v>
      </c>
      <c r="DX9" s="6">
        <f t="shared" si="8"/>
        <v>0</v>
      </c>
      <c r="DY9" s="47">
        <f t="shared" si="8"/>
        <v>0</v>
      </c>
      <c r="DZ9" s="6">
        <f t="shared" si="8"/>
        <v>0</v>
      </c>
      <c r="EA9" s="47">
        <f t="shared" si="8"/>
        <v>0</v>
      </c>
      <c r="EB9" s="6">
        <f t="shared" si="8"/>
        <v>0</v>
      </c>
      <c r="EC9" s="47">
        <f t="shared" si="8"/>
        <v>0</v>
      </c>
      <c r="ED9" s="6">
        <f t="shared" si="8"/>
        <v>0</v>
      </c>
      <c r="EE9" s="47">
        <f t="shared" si="8"/>
        <v>0</v>
      </c>
      <c r="EF9" s="6">
        <f t="shared" si="8"/>
        <v>0</v>
      </c>
      <c r="EG9" s="47">
        <f t="shared" si="8"/>
        <v>0</v>
      </c>
      <c r="EH9" s="6">
        <f t="shared" si="8"/>
        <v>0</v>
      </c>
      <c r="EI9" s="47">
        <f t="shared" si="8"/>
        <v>0</v>
      </c>
      <c r="EJ9" s="6">
        <f t="shared" si="8"/>
        <v>0</v>
      </c>
      <c r="EK9" s="47">
        <f t="shared" si="8"/>
        <v>0</v>
      </c>
      <c r="EL9" s="6">
        <f t="shared" si="8"/>
        <v>0</v>
      </c>
      <c r="EM9" s="47">
        <f t="shared" si="8"/>
        <v>0</v>
      </c>
      <c r="EN9" s="6">
        <f t="shared" si="8"/>
        <v>0</v>
      </c>
      <c r="EO9" s="47">
        <f t="shared" si="8"/>
        <v>0</v>
      </c>
      <c r="EP9" s="6">
        <f t="shared" si="8"/>
        <v>0</v>
      </c>
      <c r="EQ9" s="47">
        <f t="shared" si="8"/>
        <v>0</v>
      </c>
      <c r="ER9" s="6">
        <f t="shared" si="8"/>
        <v>0</v>
      </c>
      <c r="ES9" s="47">
        <f t="shared" si="8"/>
        <v>0</v>
      </c>
      <c r="ET9" s="249">
        <f>SUM(CF26:CF29, CF42:CF45)</f>
        <v>0</v>
      </c>
      <c r="EU9" s="251">
        <f>SUM(CG26:CG29, CG42:CG45)</f>
        <v>0</v>
      </c>
      <c r="EX9" s="241" t="s">
        <v>5</v>
      </c>
      <c r="EY9" s="192">
        <f>SUM(DR9:EU10)</f>
        <v>0</v>
      </c>
    </row>
    <row r="10" spans="2:155" ht="16.8" customHeight="1" thickBot="1" x14ac:dyDescent="0.35">
      <c r="B10" s="8" t="s">
        <v>24</v>
      </c>
      <c r="C10" s="35" t="s">
        <v>232</v>
      </c>
      <c r="D10" s="35" t="s">
        <v>66</v>
      </c>
      <c r="E10" s="35" t="s">
        <v>308</v>
      </c>
      <c r="F10" s="70" t="s">
        <v>34</v>
      </c>
      <c r="G10" s="75" t="s">
        <v>8</v>
      </c>
      <c r="H10" s="67" t="s">
        <v>13</v>
      </c>
      <c r="I10" s="11">
        <f>SUM(BD11:CG11)</f>
        <v>0</v>
      </c>
      <c r="L10" s="35" t="s">
        <v>66</v>
      </c>
      <c r="M10" s="5"/>
      <c r="N10" s="16"/>
      <c r="O10" s="5"/>
      <c r="P10" s="16"/>
      <c r="Q10" s="5"/>
      <c r="R10" s="16"/>
      <c r="S10" s="5"/>
      <c r="T10" s="16"/>
      <c r="U10" s="5"/>
      <c r="V10" s="16"/>
      <c r="W10" s="5"/>
      <c r="X10" s="16"/>
      <c r="Y10" s="5"/>
      <c r="Z10" s="16"/>
      <c r="AA10" s="5"/>
      <c r="AB10" s="16"/>
      <c r="AC10" s="5"/>
      <c r="AD10" s="16"/>
      <c r="AE10" s="5"/>
      <c r="AF10" s="16"/>
      <c r="AG10" s="5"/>
      <c r="AH10" s="16"/>
      <c r="AI10" s="5"/>
      <c r="AJ10" s="16"/>
      <c r="AK10" s="5"/>
      <c r="AL10" s="16"/>
      <c r="AM10" s="5"/>
      <c r="AN10" s="16"/>
      <c r="AO10" s="5"/>
      <c r="AP10" s="16"/>
      <c r="AS10" s="8" t="s">
        <v>24</v>
      </c>
      <c r="AT10" s="63" t="s">
        <v>325</v>
      </c>
      <c r="AU10" s="11">
        <f t="shared" si="2"/>
        <v>0</v>
      </c>
      <c r="AX10" s="70" t="s">
        <v>594</v>
      </c>
      <c r="AY10" s="75" t="s">
        <v>597</v>
      </c>
      <c r="AZ10" s="67" t="s">
        <v>596</v>
      </c>
      <c r="BC10" s="35" t="s">
        <v>65</v>
      </c>
      <c r="BD10" s="6">
        <f>IF(M9 &lt;&gt; "", VLOOKUP(CONCATENATE("P", M9), pointsSystem2, 2, FALSE), 0)</f>
        <v>0</v>
      </c>
      <c r="BE10" s="47">
        <f>IF(N9 &lt;&gt; "", VLOOKUP(CONCATENATE("P", N9), pointsSystem2, 3, FALSE), 0)</f>
        <v>0</v>
      </c>
      <c r="BF10" s="6">
        <f>IF(O9 &lt;&gt; "", VLOOKUP(CONCATENATE("P", O9), pointsSystem2, 2, FALSE), 0)</f>
        <v>0</v>
      </c>
      <c r="BG10" s="47">
        <f>IF(P9 &lt;&gt; "", VLOOKUP(CONCATENATE("P", P9), pointsSystem2, 3, FALSE), 0)</f>
        <v>0</v>
      </c>
      <c r="BH10" s="6">
        <f>IF(Q9 &lt;&gt; "", VLOOKUP(CONCATENATE("P", Q9), pointsSystem2, 2, FALSE), 0)</f>
        <v>0</v>
      </c>
      <c r="BI10" s="47">
        <f>IF(R9 &lt;&gt; "", VLOOKUP(CONCATENATE("P", R9), pointsSystem2, 3, FALSE), 0)</f>
        <v>0</v>
      </c>
      <c r="BJ10" s="6">
        <f>IF(S9 &lt;&gt; "", VLOOKUP(CONCATENATE("P", S9), pointsSystem2, 2, FALSE), 0)</f>
        <v>0</v>
      </c>
      <c r="BK10" s="47">
        <f>IF(T9 &lt;&gt; "", VLOOKUP(CONCATENATE("P", T9), pointsSystem2, 3, FALSE), 0)</f>
        <v>0</v>
      </c>
      <c r="BL10" s="6">
        <f>IF(U9 &lt;&gt; "", VLOOKUP(CONCATENATE("P", U9), pointsSystem2, 2, FALSE), 0)</f>
        <v>0</v>
      </c>
      <c r="BM10" s="47">
        <f>IF(V9 &lt;&gt; "", VLOOKUP(CONCATENATE("P", V9), pointsSystem2, 3, FALSE), 0)</f>
        <v>0</v>
      </c>
      <c r="BN10" s="6">
        <f>IF(W9 &lt;&gt; "", VLOOKUP(CONCATENATE("P", W9), pointsSystem2, 2, FALSE), 0)</f>
        <v>0</v>
      </c>
      <c r="BO10" s="47">
        <f>IF(X9 &lt;&gt; "", VLOOKUP(CONCATENATE("P", X9), pointsSystem2, 3, FALSE), 0)</f>
        <v>0</v>
      </c>
      <c r="BP10" s="6">
        <f>IF(Y9 &lt;&gt; "", VLOOKUP(CONCATENATE("P", Y9), pointsSystem2, 2, FALSE), 0)</f>
        <v>0</v>
      </c>
      <c r="BQ10" s="47">
        <f>IF(Z9 &lt;&gt; "", VLOOKUP(CONCATENATE("P", Z9), pointsSystem2, 3, FALSE), 0)</f>
        <v>0</v>
      </c>
      <c r="BR10" s="6">
        <f>IF(AA9 &lt;&gt; "", VLOOKUP(CONCATENATE("P", AA9), pointsSystem2, 2, FALSE), 0)</f>
        <v>0</v>
      </c>
      <c r="BS10" s="47">
        <f>IF(AB9 &lt;&gt; "", VLOOKUP(CONCATENATE("P", AB9), pointsSystem2, 3, FALSE), 0)</f>
        <v>0</v>
      </c>
      <c r="BT10" s="6">
        <f>IF(AC9 &lt;&gt; "", VLOOKUP(CONCATENATE("P", AC9), pointsSystem2, 2, FALSE), 0)</f>
        <v>0</v>
      </c>
      <c r="BU10" s="47">
        <f>IF(AD9 &lt;&gt; "", VLOOKUP(CONCATENATE("P", AD9), pointsSystem2, 3, FALSE), 0)</f>
        <v>0</v>
      </c>
      <c r="BV10" s="6">
        <f>IF(AE9 &lt;&gt; "", VLOOKUP(CONCATENATE("P", AE9), pointsSystem2, 2, FALSE), 0)</f>
        <v>0</v>
      </c>
      <c r="BW10" s="47">
        <f>IF(AF9 &lt;&gt; "", VLOOKUP(CONCATENATE("P", AF9), pointsSystem2, 3, FALSE), 0)</f>
        <v>0</v>
      </c>
      <c r="BX10" s="6">
        <f>IF(AG9 &lt;&gt; "", VLOOKUP(CONCATENATE("P", AG9), pointsSystem2, 2, FALSE), 0)</f>
        <v>0</v>
      </c>
      <c r="BY10" s="47">
        <f>IF(AH9 &lt;&gt; "", VLOOKUP(CONCATENATE("P", AH9), pointsSystem2, 3, FALSE), 0)</f>
        <v>0</v>
      </c>
      <c r="BZ10" s="6">
        <f>IF(AI9 &lt;&gt; "", VLOOKUP(CONCATENATE("P", AI9), pointsSystem2, 2, FALSE), 0)</f>
        <v>0</v>
      </c>
      <c r="CA10" s="47">
        <f>IF(AJ9 &lt;&gt; "", VLOOKUP(CONCATENATE("P", AJ9), pointsSystem2, 3, FALSE), 0)</f>
        <v>0</v>
      </c>
      <c r="CB10" s="6">
        <f>IF(AK9 &lt;&gt; "", VLOOKUP(CONCATENATE("P", AK9), pointsSystem2, 2, FALSE), 0)</f>
        <v>0</v>
      </c>
      <c r="CC10" s="47">
        <f>IF(AL9 &lt;&gt; "", VLOOKUP(CONCATENATE("P", AL9), pointsSystem2, 3, FALSE), 0)</f>
        <v>0</v>
      </c>
      <c r="CD10" s="6">
        <f>IF(AM9 &lt;&gt; "", VLOOKUP(CONCATENATE("P", AM9), pointsSystem2, 2, FALSE), 0)</f>
        <v>0</v>
      </c>
      <c r="CE10" s="47">
        <f>IF(AN9 &lt;&gt; "", VLOOKUP(CONCATENATE("P", AN9), pointsSystem2, 3, FALSE), 0)</f>
        <v>0</v>
      </c>
      <c r="CF10" s="6">
        <f>AO9 * 3</f>
        <v>0</v>
      </c>
      <c r="CG10" s="47">
        <f>AP9 * 1</f>
        <v>0</v>
      </c>
      <c r="CJ10" s="63" t="s">
        <v>325</v>
      </c>
      <c r="CK10" s="6">
        <f t="shared" ref="CK10:DL10" si="9">MAX(BD26:BD29) + LARGE(BD26:BD29, 2)</f>
        <v>0</v>
      </c>
      <c r="CL10" s="47">
        <f t="shared" si="9"/>
        <v>0</v>
      </c>
      <c r="CM10" s="6">
        <f t="shared" si="9"/>
        <v>0</v>
      </c>
      <c r="CN10" s="47">
        <f t="shared" si="9"/>
        <v>0</v>
      </c>
      <c r="CO10" s="6">
        <f t="shared" si="9"/>
        <v>0</v>
      </c>
      <c r="CP10" s="47">
        <f t="shared" si="9"/>
        <v>0</v>
      </c>
      <c r="CQ10" s="6">
        <f t="shared" si="9"/>
        <v>0</v>
      </c>
      <c r="CR10" s="47">
        <f t="shared" si="9"/>
        <v>0</v>
      </c>
      <c r="CS10" s="6">
        <f t="shared" si="9"/>
        <v>0</v>
      </c>
      <c r="CT10" s="47">
        <f t="shared" si="9"/>
        <v>0</v>
      </c>
      <c r="CU10" s="6">
        <f t="shared" si="9"/>
        <v>0</v>
      </c>
      <c r="CV10" s="47">
        <f t="shared" si="9"/>
        <v>0</v>
      </c>
      <c r="CW10" s="6">
        <f t="shared" si="9"/>
        <v>0</v>
      </c>
      <c r="CX10" s="47">
        <f t="shared" si="9"/>
        <v>0</v>
      </c>
      <c r="CY10" s="6">
        <f t="shared" si="9"/>
        <v>0</v>
      </c>
      <c r="CZ10" s="47">
        <f t="shared" si="9"/>
        <v>0</v>
      </c>
      <c r="DA10" s="6">
        <f t="shared" si="9"/>
        <v>0</v>
      </c>
      <c r="DB10" s="47">
        <f t="shared" si="9"/>
        <v>0</v>
      </c>
      <c r="DC10" s="6">
        <f t="shared" si="9"/>
        <v>0</v>
      </c>
      <c r="DD10" s="47">
        <f t="shared" si="9"/>
        <v>0</v>
      </c>
      <c r="DE10" s="6">
        <f t="shared" si="9"/>
        <v>0</v>
      </c>
      <c r="DF10" s="47">
        <f t="shared" si="9"/>
        <v>0</v>
      </c>
      <c r="DG10" s="6">
        <f t="shared" si="9"/>
        <v>0</v>
      </c>
      <c r="DH10" s="47">
        <f t="shared" si="9"/>
        <v>0</v>
      </c>
      <c r="DI10" s="6">
        <f t="shared" si="9"/>
        <v>0</v>
      </c>
      <c r="DJ10" s="47">
        <f t="shared" si="9"/>
        <v>0</v>
      </c>
      <c r="DK10" s="6">
        <f t="shared" si="9"/>
        <v>0</v>
      </c>
      <c r="DL10" s="47">
        <f t="shared" si="9"/>
        <v>0</v>
      </c>
      <c r="DM10" s="6">
        <f>SUM(CF26:CF29)</f>
        <v>0</v>
      </c>
      <c r="DN10" s="47">
        <f>SUM(CG26:CG29)</f>
        <v>0</v>
      </c>
      <c r="DQ10" s="242"/>
      <c r="DR10" s="6">
        <f>LARGE((BD26:BD29, BD42:BD45), 2)</f>
        <v>0</v>
      </c>
      <c r="DS10" s="47">
        <f>LARGE((BE26:BE29, BE42:BE45), 2)</f>
        <v>0</v>
      </c>
      <c r="DT10" s="6">
        <f>LARGE((BF26:BF29, BF42:BF45), 2)</f>
        <v>0</v>
      </c>
      <c r="DU10" s="47">
        <f>LARGE((BG26:BG29, BG42:BG45), 2)</f>
        <v>0</v>
      </c>
      <c r="DV10" s="6">
        <f>LARGE((BH26:BH29, BH42:BH45), 2)</f>
        <v>0</v>
      </c>
      <c r="DW10" s="47">
        <f>LARGE((BI26:BI29, BI42:BI45), 2)</f>
        <v>0</v>
      </c>
      <c r="DX10" s="6">
        <f>LARGE((BJ26:BJ29, BJ42:BJ45), 2)</f>
        <v>0</v>
      </c>
      <c r="DY10" s="47">
        <f>LARGE((BK26:BK29, BK42:BK45), 2)</f>
        <v>0</v>
      </c>
      <c r="DZ10" s="6">
        <f>LARGE((BL26:BL29, BL42:BL45), 2)</f>
        <v>0</v>
      </c>
      <c r="EA10" s="47">
        <f>LARGE((BM26:BM29, BM42:BM45), 2)</f>
        <v>0</v>
      </c>
      <c r="EB10" s="6">
        <f>LARGE((BN26:BN29, BN42:BN45), 2)</f>
        <v>0</v>
      </c>
      <c r="EC10" s="47">
        <f>LARGE((BO26:BO29, BO42:BO45), 2)</f>
        <v>0</v>
      </c>
      <c r="ED10" s="6">
        <f>LARGE((BP26:BP29, BP42:BP45), 2)</f>
        <v>0</v>
      </c>
      <c r="EE10" s="47">
        <f>LARGE((BQ26:BQ29, BQ42:BQ45), 2)</f>
        <v>0</v>
      </c>
      <c r="EF10" s="6">
        <f>LARGE((BR26:BR29, BR42:BR45), 2)</f>
        <v>0</v>
      </c>
      <c r="EG10" s="47">
        <f>LARGE((BS26:BS29, BS42:BS45), 2)</f>
        <v>0</v>
      </c>
      <c r="EH10" s="6">
        <f>LARGE((BT26:BT29, BT42:BT45), 2)</f>
        <v>0</v>
      </c>
      <c r="EI10" s="47">
        <f>LARGE((BU26:BU29, BU42:BU45), 2)</f>
        <v>0</v>
      </c>
      <c r="EJ10" s="6">
        <f>LARGE((BV26:BV29, BV42:BV45), 2)</f>
        <v>0</v>
      </c>
      <c r="EK10" s="47">
        <f>LARGE((BW26:BW29, BW42:BW45), 2)</f>
        <v>0</v>
      </c>
      <c r="EL10" s="6">
        <f>LARGE((BX26:BX29, BX42:BX45), 2)</f>
        <v>0</v>
      </c>
      <c r="EM10" s="47">
        <f>LARGE((BY26:BY29, BY42:BY45), 2)</f>
        <v>0</v>
      </c>
      <c r="EN10" s="6">
        <f>LARGE((BZ26:BZ29, BZ42:BZ45), 2)</f>
        <v>0</v>
      </c>
      <c r="EO10" s="47">
        <f>LARGE((CA26:CA29, CA42:CA45), 2)</f>
        <v>0</v>
      </c>
      <c r="EP10" s="6">
        <f>LARGE((CB26:CB29, CB42:CB45), 2)</f>
        <v>0</v>
      </c>
      <c r="EQ10" s="47">
        <f>LARGE((CC26:CC29, CC42:CC45), 2)</f>
        <v>0</v>
      </c>
      <c r="ER10" s="6">
        <f>LARGE((CD26:CD29, CD42:CD45), 2)</f>
        <v>0</v>
      </c>
      <c r="ES10" s="47">
        <f>LARGE((CE26:CE29, CE42:CE45), 2)</f>
        <v>0</v>
      </c>
      <c r="ET10" s="248"/>
      <c r="EU10" s="254"/>
      <c r="EX10" s="242"/>
      <c r="EY10" s="192"/>
    </row>
    <row r="11" spans="2:155" ht="16.8" customHeight="1" thickBot="1" x14ac:dyDescent="0.35">
      <c r="B11" s="8" t="s">
        <v>25</v>
      </c>
      <c r="C11" s="35" t="s">
        <v>215</v>
      </c>
      <c r="D11" s="35" t="s">
        <v>67</v>
      </c>
      <c r="E11" s="35" t="s">
        <v>308</v>
      </c>
      <c r="F11" s="70" t="s">
        <v>34</v>
      </c>
      <c r="G11" s="75" t="s">
        <v>8</v>
      </c>
      <c r="H11" s="67" t="s">
        <v>13</v>
      </c>
      <c r="I11" s="11">
        <f>SUM(BD12:CG12)</f>
        <v>0</v>
      </c>
      <c r="L11" s="35" t="s">
        <v>67</v>
      </c>
      <c r="M11" s="5"/>
      <c r="N11" s="16"/>
      <c r="O11" s="5"/>
      <c r="P11" s="16"/>
      <c r="Q11" s="5"/>
      <c r="R11" s="16"/>
      <c r="S11" s="5"/>
      <c r="T11" s="16"/>
      <c r="U11" s="5"/>
      <c r="V11" s="16"/>
      <c r="W11" s="5"/>
      <c r="X11" s="16"/>
      <c r="Y11" s="5"/>
      <c r="Z11" s="16"/>
      <c r="AA11" s="5"/>
      <c r="AB11" s="16"/>
      <c r="AC11" s="5"/>
      <c r="AD11" s="16"/>
      <c r="AE11" s="5"/>
      <c r="AF11" s="16"/>
      <c r="AG11" s="5"/>
      <c r="AH11" s="16"/>
      <c r="AI11" s="5"/>
      <c r="AJ11" s="16"/>
      <c r="AK11" s="5"/>
      <c r="AL11" s="16"/>
      <c r="AM11" s="5"/>
      <c r="AN11" s="16"/>
      <c r="AO11" s="5"/>
      <c r="AP11" s="16"/>
      <c r="AS11" s="8" t="s">
        <v>25</v>
      </c>
      <c r="AT11" s="42" t="s">
        <v>335</v>
      </c>
      <c r="AU11" s="11">
        <f t="shared" si="2"/>
        <v>0</v>
      </c>
      <c r="AX11" s="70" t="s">
        <v>594</v>
      </c>
      <c r="AY11" s="75" t="s">
        <v>597</v>
      </c>
      <c r="AZ11" s="67" t="s">
        <v>596</v>
      </c>
      <c r="BC11" s="35" t="s">
        <v>66</v>
      </c>
      <c r="BD11" s="6">
        <f>IF(M10 &lt;&gt; "", VLOOKUP(CONCATENATE("P", M10), pointsSystem2, 2, FALSE), 0)</f>
        <v>0</v>
      </c>
      <c r="BE11" s="47">
        <f>IF(N10 &lt;&gt; "", VLOOKUP(CONCATENATE("P", N10), pointsSystem2, 3, FALSE), 0)</f>
        <v>0</v>
      </c>
      <c r="BF11" s="6">
        <f>IF(O10 &lt;&gt; "", VLOOKUP(CONCATENATE("P", O10), pointsSystem2, 2, FALSE), 0)</f>
        <v>0</v>
      </c>
      <c r="BG11" s="47">
        <f>IF(P10 &lt;&gt; "", VLOOKUP(CONCATENATE("P", P10), pointsSystem2, 3, FALSE), 0)</f>
        <v>0</v>
      </c>
      <c r="BH11" s="6">
        <f>IF(Q10 &lt;&gt; "", VLOOKUP(CONCATENATE("P", Q10), pointsSystem2, 2, FALSE), 0)</f>
        <v>0</v>
      </c>
      <c r="BI11" s="47">
        <f>IF(R10 &lt;&gt; "", VLOOKUP(CONCATENATE("P", R10), pointsSystem2, 3, FALSE), 0)</f>
        <v>0</v>
      </c>
      <c r="BJ11" s="6">
        <f>IF(S10 &lt;&gt; "", VLOOKUP(CONCATENATE("P", S10), pointsSystem2, 2, FALSE), 0)</f>
        <v>0</v>
      </c>
      <c r="BK11" s="47">
        <f>IF(T10 &lt;&gt; "", VLOOKUP(CONCATENATE("P", T10), pointsSystem2, 3, FALSE), 0)</f>
        <v>0</v>
      </c>
      <c r="BL11" s="6">
        <f>IF(U10 &lt;&gt; "", VLOOKUP(CONCATENATE("P", U10), pointsSystem2, 2, FALSE), 0)</f>
        <v>0</v>
      </c>
      <c r="BM11" s="47">
        <f>IF(V10 &lt;&gt; "", VLOOKUP(CONCATENATE("P", V10), pointsSystem2, 3, FALSE), 0)</f>
        <v>0</v>
      </c>
      <c r="BN11" s="6">
        <f>IF(W10 &lt;&gt; "", VLOOKUP(CONCATENATE("P", W10), pointsSystem2, 2, FALSE), 0)</f>
        <v>0</v>
      </c>
      <c r="BO11" s="47">
        <f>IF(X10 &lt;&gt; "", VLOOKUP(CONCATENATE("P", X10), pointsSystem2, 3, FALSE), 0)</f>
        <v>0</v>
      </c>
      <c r="BP11" s="6">
        <f>IF(Y10 &lt;&gt; "", VLOOKUP(CONCATENATE("P", Y10), pointsSystem2, 2, FALSE), 0)</f>
        <v>0</v>
      </c>
      <c r="BQ11" s="47">
        <f>IF(Z10 &lt;&gt; "", VLOOKUP(CONCATENATE("P", Z10), pointsSystem2, 3, FALSE), 0)</f>
        <v>0</v>
      </c>
      <c r="BR11" s="6">
        <f>IF(AA10 &lt;&gt; "", VLOOKUP(CONCATENATE("P", AA10), pointsSystem2, 2, FALSE), 0)</f>
        <v>0</v>
      </c>
      <c r="BS11" s="47">
        <f>IF(AB10 &lt;&gt; "", VLOOKUP(CONCATENATE("P", AB10), pointsSystem2, 3, FALSE), 0)</f>
        <v>0</v>
      </c>
      <c r="BT11" s="6">
        <f>IF(AC10 &lt;&gt; "", VLOOKUP(CONCATENATE("P", AC10), pointsSystem2, 2, FALSE), 0)</f>
        <v>0</v>
      </c>
      <c r="BU11" s="47">
        <f>IF(AD10 &lt;&gt; "", VLOOKUP(CONCATENATE("P", AD10), pointsSystem2, 3, FALSE), 0)</f>
        <v>0</v>
      </c>
      <c r="BV11" s="6">
        <f>IF(AE10 &lt;&gt; "", VLOOKUP(CONCATENATE("P", AE10), pointsSystem2, 2, FALSE), 0)</f>
        <v>0</v>
      </c>
      <c r="BW11" s="47">
        <f>IF(AF10 &lt;&gt; "", VLOOKUP(CONCATENATE("P", AF10), pointsSystem2, 3, FALSE), 0)</f>
        <v>0</v>
      </c>
      <c r="BX11" s="6">
        <f>IF(AG10 &lt;&gt; "", VLOOKUP(CONCATENATE("P", AG10), pointsSystem2, 2, FALSE), 0)</f>
        <v>0</v>
      </c>
      <c r="BY11" s="47">
        <f>IF(AH10 &lt;&gt; "", VLOOKUP(CONCATENATE("P", AH10), pointsSystem2, 3, FALSE), 0)</f>
        <v>0</v>
      </c>
      <c r="BZ11" s="6">
        <f>IF(AI10 &lt;&gt; "", VLOOKUP(CONCATENATE("P", AI10), pointsSystem2, 2, FALSE), 0)</f>
        <v>0</v>
      </c>
      <c r="CA11" s="47">
        <f>IF(AJ10 &lt;&gt; "", VLOOKUP(CONCATENATE("P", AJ10), pointsSystem2, 3, FALSE), 0)</f>
        <v>0</v>
      </c>
      <c r="CB11" s="6">
        <f>IF(AK10 &lt;&gt; "", VLOOKUP(CONCATENATE("P", AK10), pointsSystem2, 2, FALSE), 0)</f>
        <v>0</v>
      </c>
      <c r="CC11" s="47">
        <f>IF(AL10 &lt;&gt; "", VLOOKUP(CONCATENATE("P", AL10), pointsSystem2, 3, FALSE), 0)</f>
        <v>0</v>
      </c>
      <c r="CD11" s="6">
        <f>IF(AM10 &lt;&gt; "", VLOOKUP(CONCATENATE("P", AM10), pointsSystem2, 2, FALSE), 0)</f>
        <v>0</v>
      </c>
      <c r="CE11" s="47">
        <f>IF(AN10 &lt;&gt; "", VLOOKUP(CONCATENATE("P", AN10), pointsSystem2, 3, FALSE), 0)</f>
        <v>0</v>
      </c>
      <c r="CF11" s="6">
        <f>AO10 * 3</f>
        <v>0</v>
      </c>
      <c r="CG11" s="47">
        <f>AP10 * 1</f>
        <v>0</v>
      </c>
      <c r="CJ11" s="42" t="s">
        <v>335</v>
      </c>
      <c r="CK11" s="6">
        <f t="shared" ref="CK11:DL11" si="10">MAX(BD30:BD33) + LARGE(BD30:BD33, 2)</f>
        <v>0</v>
      </c>
      <c r="CL11" s="47">
        <f t="shared" si="10"/>
        <v>0</v>
      </c>
      <c r="CM11" s="6">
        <f t="shared" si="10"/>
        <v>0</v>
      </c>
      <c r="CN11" s="47">
        <f t="shared" si="10"/>
        <v>0</v>
      </c>
      <c r="CO11" s="6">
        <f t="shared" si="10"/>
        <v>0</v>
      </c>
      <c r="CP11" s="47">
        <f t="shared" si="10"/>
        <v>0</v>
      </c>
      <c r="CQ11" s="6">
        <f t="shared" si="10"/>
        <v>0</v>
      </c>
      <c r="CR11" s="47">
        <f t="shared" si="10"/>
        <v>0</v>
      </c>
      <c r="CS11" s="6">
        <f t="shared" si="10"/>
        <v>0</v>
      </c>
      <c r="CT11" s="47">
        <f t="shared" si="10"/>
        <v>0</v>
      </c>
      <c r="CU11" s="6">
        <f t="shared" si="10"/>
        <v>0</v>
      </c>
      <c r="CV11" s="47">
        <f t="shared" si="10"/>
        <v>0</v>
      </c>
      <c r="CW11" s="6">
        <f t="shared" si="10"/>
        <v>0</v>
      </c>
      <c r="CX11" s="47">
        <f t="shared" si="10"/>
        <v>0</v>
      </c>
      <c r="CY11" s="6">
        <f t="shared" si="10"/>
        <v>0</v>
      </c>
      <c r="CZ11" s="47">
        <f t="shared" si="10"/>
        <v>0</v>
      </c>
      <c r="DA11" s="6">
        <f t="shared" si="10"/>
        <v>0</v>
      </c>
      <c r="DB11" s="47">
        <f t="shared" si="10"/>
        <v>0</v>
      </c>
      <c r="DC11" s="6">
        <f t="shared" si="10"/>
        <v>0</v>
      </c>
      <c r="DD11" s="47">
        <f t="shared" si="10"/>
        <v>0</v>
      </c>
      <c r="DE11" s="6">
        <f t="shared" si="10"/>
        <v>0</v>
      </c>
      <c r="DF11" s="47">
        <f t="shared" si="10"/>
        <v>0</v>
      </c>
      <c r="DG11" s="6">
        <f t="shared" si="10"/>
        <v>0</v>
      </c>
      <c r="DH11" s="47">
        <f t="shared" si="10"/>
        <v>0</v>
      </c>
      <c r="DI11" s="6">
        <f t="shared" si="10"/>
        <v>0</v>
      </c>
      <c r="DJ11" s="47">
        <f t="shared" si="10"/>
        <v>0</v>
      </c>
      <c r="DK11" s="6">
        <f t="shared" si="10"/>
        <v>0</v>
      </c>
      <c r="DL11" s="47">
        <f t="shared" si="10"/>
        <v>0</v>
      </c>
      <c r="DM11" s="6">
        <f>SUM(CF30:CF33)</f>
        <v>0</v>
      </c>
      <c r="DN11" s="47">
        <f>SUM(CG30:CG33)</f>
        <v>0</v>
      </c>
      <c r="DQ11" s="243" t="s">
        <v>6</v>
      </c>
      <c r="DR11" s="6">
        <f>MAX(BD5:BD9, BD14:BD17, BD38:BD41)</f>
        <v>0</v>
      </c>
      <c r="DS11" s="47">
        <f t="shared" ref="DS11:ES11" si="11">MAX(BE5:BE9, BE14:BE17, BE38:BE41)</f>
        <v>0</v>
      </c>
      <c r="DT11" s="6">
        <f t="shared" si="11"/>
        <v>0</v>
      </c>
      <c r="DU11" s="47">
        <f t="shared" si="11"/>
        <v>0</v>
      </c>
      <c r="DV11" s="6">
        <f t="shared" si="11"/>
        <v>0</v>
      </c>
      <c r="DW11" s="47">
        <f t="shared" si="11"/>
        <v>0</v>
      </c>
      <c r="DX11" s="6">
        <f t="shared" si="11"/>
        <v>0</v>
      </c>
      <c r="DY11" s="47">
        <f t="shared" si="11"/>
        <v>0</v>
      </c>
      <c r="DZ11" s="6">
        <f t="shared" si="11"/>
        <v>0</v>
      </c>
      <c r="EA11" s="47">
        <f t="shared" si="11"/>
        <v>0</v>
      </c>
      <c r="EB11" s="6">
        <f t="shared" si="11"/>
        <v>0</v>
      </c>
      <c r="EC11" s="47">
        <f t="shared" si="11"/>
        <v>0</v>
      </c>
      <c r="ED11" s="6">
        <f t="shared" si="11"/>
        <v>0</v>
      </c>
      <c r="EE11" s="47">
        <f t="shared" si="11"/>
        <v>0</v>
      </c>
      <c r="EF11" s="6">
        <f t="shared" si="11"/>
        <v>0</v>
      </c>
      <c r="EG11" s="47">
        <f t="shared" si="11"/>
        <v>0</v>
      </c>
      <c r="EH11" s="6">
        <f t="shared" si="11"/>
        <v>0</v>
      </c>
      <c r="EI11" s="47">
        <f t="shared" si="11"/>
        <v>0</v>
      </c>
      <c r="EJ11" s="6">
        <f t="shared" si="11"/>
        <v>0</v>
      </c>
      <c r="EK11" s="47">
        <f t="shared" si="11"/>
        <v>0</v>
      </c>
      <c r="EL11" s="6">
        <f t="shared" si="11"/>
        <v>0</v>
      </c>
      <c r="EM11" s="47">
        <f t="shared" si="11"/>
        <v>0</v>
      </c>
      <c r="EN11" s="6">
        <f t="shared" si="11"/>
        <v>0</v>
      </c>
      <c r="EO11" s="47">
        <f t="shared" si="11"/>
        <v>0</v>
      </c>
      <c r="EP11" s="6">
        <f t="shared" si="11"/>
        <v>0</v>
      </c>
      <c r="EQ11" s="47">
        <f t="shared" si="11"/>
        <v>0</v>
      </c>
      <c r="ER11" s="6">
        <f t="shared" si="11"/>
        <v>0</v>
      </c>
      <c r="ES11" s="47">
        <f t="shared" si="11"/>
        <v>0</v>
      </c>
      <c r="ET11" s="249">
        <f>SUM(CF5:CF9, CF14:CF17, CF38:CF41)</f>
        <v>0</v>
      </c>
      <c r="EU11" s="251">
        <f>SUM(CG5:CG9, CG14:CG17, CG38:CG41)</f>
        <v>0</v>
      </c>
      <c r="EX11" s="243" t="s">
        <v>6</v>
      </c>
      <c r="EY11" s="192">
        <f>SUM(DR11:EU12)</f>
        <v>0</v>
      </c>
    </row>
    <row r="12" spans="2:155" ht="16.8" customHeight="1" thickBot="1" x14ac:dyDescent="0.35">
      <c r="B12" s="8" t="s">
        <v>26</v>
      </c>
      <c r="C12" s="162" t="s">
        <v>285</v>
      </c>
      <c r="D12" s="162" t="s">
        <v>630</v>
      </c>
      <c r="E12" s="162" t="s">
        <v>711</v>
      </c>
      <c r="F12" s="71" t="s">
        <v>6</v>
      </c>
      <c r="G12" s="74" t="s">
        <v>9</v>
      </c>
      <c r="H12" s="78" t="s">
        <v>11</v>
      </c>
      <c r="I12" s="11">
        <f>SUM(BD14:CG14)</f>
        <v>0</v>
      </c>
      <c r="L12" s="162" t="s">
        <v>630</v>
      </c>
      <c r="M12" s="5"/>
      <c r="N12" s="16"/>
      <c r="O12" s="5"/>
      <c r="P12" s="16"/>
      <c r="Q12" s="5"/>
      <c r="R12" s="16"/>
      <c r="S12" s="5"/>
      <c r="T12" s="16"/>
      <c r="U12" s="5"/>
      <c r="V12" s="16"/>
      <c r="W12" s="5"/>
      <c r="X12" s="16"/>
      <c r="Y12" s="5"/>
      <c r="Z12" s="16"/>
      <c r="AA12" s="5"/>
      <c r="AB12" s="16"/>
      <c r="AC12" s="5"/>
      <c r="AD12" s="16"/>
      <c r="AE12" s="5"/>
      <c r="AF12" s="16"/>
      <c r="AG12" s="5"/>
      <c r="AH12" s="16"/>
      <c r="AI12" s="5"/>
      <c r="AJ12" s="16"/>
      <c r="AK12" s="5"/>
      <c r="AL12" s="16"/>
      <c r="AM12" s="5"/>
      <c r="AN12" s="16"/>
      <c r="AO12" s="5"/>
      <c r="AP12" s="16"/>
      <c r="AS12" s="8" t="s">
        <v>26</v>
      </c>
      <c r="AT12" s="41" t="s">
        <v>554</v>
      </c>
      <c r="AU12" s="11">
        <f t="shared" si="2"/>
        <v>0</v>
      </c>
      <c r="AX12" s="70" t="s">
        <v>594</v>
      </c>
      <c r="AY12" s="75" t="s">
        <v>597</v>
      </c>
      <c r="AZ12" s="67" t="s">
        <v>596</v>
      </c>
      <c r="BC12" s="35" t="s">
        <v>67</v>
      </c>
      <c r="BD12" s="6">
        <f>IF(M11 &lt;&gt; "", VLOOKUP(CONCATENATE("P", M11), pointsSystem2, 2, FALSE), 0)</f>
        <v>0</v>
      </c>
      <c r="BE12" s="47">
        <f>IF(N11 &lt;&gt; "", VLOOKUP(CONCATENATE("P", N11), pointsSystem2, 3, FALSE), 0)</f>
        <v>0</v>
      </c>
      <c r="BF12" s="6">
        <f>IF(O11 &lt;&gt; "", VLOOKUP(CONCATENATE("P", O11), pointsSystem2, 2, FALSE), 0)</f>
        <v>0</v>
      </c>
      <c r="BG12" s="47">
        <f>IF(P11 &lt;&gt; "", VLOOKUP(CONCATENATE("P", P11), pointsSystem2, 3, FALSE), 0)</f>
        <v>0</v>
      </c>
      <c r="BH12" s="6">
        <f>IF(Q11 &lt;&gt; "", VLOOKUP(CONCATENATE("P", Q11), pointsSystem2, 2, FALSE), 0)</f>
        <v>0</v>
      </c>
      <c r="BI12" s="47">
        <f>IF(R11 &lt;&gt; "", VLOOKUP(CONCATENATE("P", R11), pointsSystem2, 3, FALSE), 0)</f>
        <v>0</v>
      </c>
      <c r="BJ12" s="6">
        <f>IF(S11 &lt;&gt; "", VLOOKUP(CONCATENATE("P", S11), pointsSystem2, 2, FALSE), 0)</f>
        <v>0</v>
      </c>
      <c r="BK12" s="47">
        <f>IF(T11 &lt;&gt; "", VLOOKUP(CONCATENATE("P", T11), pointsSystem2, 3, FALSE), 0)</f>
        <v>0</v>
      </c>
      <c r="BL12" s="6">
        <f>IF(U11 &lt;&gt; "", VLOOKUP(CONCATENATE("P", U11), pointsSystem2, 2, FALSE), 0)</f>
        <v>0</v>
      </c>
      <c r="BM12" s="47">
        <f>IF(V11 &lt;&gt; "", VLOOKUP(CONCATENATE("P", V11), pointsSystem2, 3, FALSE), 0)</f>
        <v>0</v>
      </c>
      <c r="BN12" s="6">
        <f>IF(W11 &lt;&gt; "", VLOOKUP(CONCATENATE("P", W11), pointsSystem2, 2, FALSE), 0)</f>
        <v>0</v>
      </c>
      <c r="BO12" s="47">
        <f>IF(X11 &lt;&gt; "", VLOOKUP(CONCATENATE("P", X11), pointsSystem2, 3, FALSE), 0)</f>
        <v>0</v>
      </c>
      <c r="BP12" s="6">
        <f>IF(Y11 &lt;&gt; "", VLOOKUP(CONCATENATE("P", Y11), pointsSystem2, 2, FALSE), 0)</f>
        <v>0</v>
      </c>
      <c r="BQ12" s="47">
        <f>IF(Z11 &lt;&gt; "", VLOOKUP(CONCATENATE("P", Z11), pointsSystem2, 3, FALSE), 0)</f>
        <v>0</v>
      </c>
      <c r="BR12" s="6">
        <f>IF(AA11 &lt;&gt; "", VLOOKUP(CONCATENATE("P", AA11), pointsSystem2, 2, FALSE), 0)</f>
        <v>0</v>
      </c>
      <c r="BS12" s="47">
        <f>IF(AB11 &lt;&gt; "", VLOOKUP(CONCATENATE("P", AB11), pointsSystem2, 3, FALSE), 0)</f>
        <v>0</v>
      </c>
      <c r="BT12" s="6">
        <f>IF(AC11 &lt;&gt; "", VLOOKUP(CONCATENATE("P", AC11), pointsSystem2, 2, FALSE), 0)</f>
        <v>0</v>
      </c>
      <c r="BU12" s="47">
        <f>IF(AD11 &lt;&gt; "", VLOOKUP(CONCATENATE("P", AD11), pointsSystem2, 3, FALSE), 0)</f>
        <v>0</v>
      </c>
      <c r="BV12" s="6">
        <f>IF(AE11 &lt;&gt; "", VLOOKUP(CONCATENATE("P", AE11), pointsSystem2, 2, FALSE), 0)</f>
        <v>0</v>
      </c>
      <c r="BW12" s="47">
        <f>IF(AF11 &lt;&gt; "", VLOOKUP(CONCATENATE("P", AF11), pointsSystem2, 3, FALSE), 0)</f>
        <v>0</v>
      </c>
      <c r="BX12" s="6">
        <f>IF(AG11 &lt;&gt; "", VLOOKUP(CONCATENATE("P", AG11), pointsSystem2, 2, FALSE), 0)</f>
        <v>0</v>
      </c>
      <c r="BY12" s="47">
        <f>IF(AH11 &lt;&gt; "", VLOOKUP(CONCATENATE("P", AH11), pointsSystem2, 3, FALSE), 0)</f>
        <v>0</v>
      </c>
      <c r="BZ12" s="6">
        <f>IF(AI11 &lt;&gt; "", VLOOKUP(CONCATENATE("P", AI11), pointsSystem2, 2, FALSE), 0)</f>
        <v>0</v>
      </c>
      <c r="CA12" s="47">
        <f>IF(AJ11 &lt;&gt; "", VLOOKUP(CONCATENATE("P", AJ11), pointsSystem2, 3, FALSE), 0)</f>
        <v>0</v>
      </c>
      <c r="CB12" s="6">
        <f>IF(AK11 &lt;&gt; "", VLOOKUP(CONCATENATE("P", AK11), pointsSystem2, 2, FALSE), 0)</f>
        <v>0</v>
      </c>
      <c r="CC12" s="47">
        <f>IF(AL11 &lt;&gt; "", VLOOKUP(CONCATENATE("P", AL11), pointsSystem2, 3, FALSE), 0)</f>
        <v>0</v>
      </c>
      <c r="CD12" s="6">
        <f>IF(AM11 &lt;&gt; "", VLOOKUP(CONCATENATE("P", AM11), pointsSystem2, 2, FALSE), 0)</f>
        <v>0</v>
      </c>
      <c r="CE12" s="47">
        <f>IF(AN11 &lt;&gt; "", VLOOKUP(CONCATENATE("P", AN11), pointsSystem2, 3, FALSE), 0)</f>
        <v>0</v>
      </c>
      <c r="CF12" s="6">
        <f>AO11 * 3</f>
        <v>0</v>
      </c>
      <c r="CG12" s="47">
        <f>AP11 * 1</f>
        <v>0</v>
      </c>
      <c r="CJ12" s="41" t="s">
        <v>554</v>
      </c>
      <c r="CK12" s="6">
        <f t="shared" ref="CK12:DL12" si="12">MAX(BD34:BD37) + LARGE(BD34:BD37, 2)</f>
        <v>0</v>
      </c>
      <c r="CL12" s="47">
        <f t="shared" si="12"/>
        <v>0</v>
      </c>
      <c r="CM12" s="6">
        <f t="shared" si="12"/>
        <v>0</v>
      </c>
      <c r="CN12" s="47">
        <f t="shared" si="12"/>
        <v>0</v>
      </c>
      <c r="CO12" s="6">
        <f t="shared" si="12"/>
        <v>0</v>
      </c>
      <c r="CP12" s="47">
        <f t="shared" si="12"/>
        <v>0</v>
      </c>
      <c r="CQ12" s="6">
        <f t="shared" si="12"/>
        <v>0</v>
      </c>
      <c r="CR12" s="47">
        <f t="shared" si="12"/>
        <v>0</v>
      </c>
      <c r="CS12" s="6">
        <f t="shared" si="12"/>
        <v>0</v>
      </c>
      <c r="CT12" s="47">
        <f t="shared" si="12"/>
        <v>0</v>
      </c>
      <c r="CU12" s="6">
        <f t="shared" si="12"/>
        <v>0</v>
      </c>
      <c r="CV12" s="47">
        <f t="shared" si="12"/>
        <v>0</v>
      </c>
      <c r="CW12" s="6">
        <f t="shared" si="12"/>
        <v>0</v>
      </c>
      <c r="CX12" s="47">
        <f t="shared" si="12"/>
        <v>0</v>
      </c>
      <c r="CY12" s="6">
        <f t="shared" si="12"/>
        <v>0</v>
      </c>
      <c r="CZ12" s="47">
        <f t="shared" si="12"/>
        <v>0</v>
      </c>
      <c r="DA12" s="6">
        <f t="shared" si="12"/>
        <v>0</v>
      </c>
      <c r="DB12" s="47">
        <f t="shared" si="12"/>
        <v>0</v>
      </c>
      <c r="DC12" s="6">
        <f t="shared" si="12"/>
        <v>0</v>
      </c>
      <c r="DD12" s="47">
        <f t="shared" si="12"/>
        <v>0</v>
      </c>
      <c r="DE12" s="6">
        <f t="shared" si="12"/>
        <v>0</v>
      </c>
      <c r="DF12" s="47">
        <f t="shared" si="12"/>
        <v>0</v>
      </c>
      <c r="DG12" s="6">
        <f t="shared" si="12"/>
        <v>0</v>
      </c>
      <c r="DH12" s="47">
        <f t="shared" si="12"/>
        <v>0</v>
      </c>
      <c r="DI12" s="6">
        <f t="shared" si="12"/>
        <v>0</v>
      </c>
      <c r="DJ12" s="47">
        <f t="shared" si="12"/>
        <v>0</v>
      </c>
      <c r="DK12" s="6">
        <f t="shared" si="12"/>
        <v>0</v>
      </c>
      <c r="DL12" s="47">
        <f t="shared" si="12"/>
        <v>0</v>
      </c>
      <c r="DM12" s="6">
        <f>SUM(CF34:CF37)</f>
        <v>0</v>
      </c>
      <c r="DN12" s="47">
        <f>SUM(CG34:CG37)</f>
        <v>0</v>
      </c>
      <c r="DQ12" s="244"/>
      <c r="DR12" s="6">
        <f>LARGE((BD5:BD9, BD14:BD17, BD38:BD41), 2)</f>
        <v>0</v>
      </c>
      <c r="DS12" s="47">
        <f>LARGE((BE5:BE9, BE14:BE17, BE38:BE41), 2)</f>
        <v>0</v>
      </c>
      <c r="DT12" s="6">
        <f>LARGE((BF5:BF9, BF14:BF17, BF38:BF41), 2)</f>
        <v>0</v>
      </c>
      <c r="DU12" s="47">
        <f>LARGE((BG5:BG9, BG14:BG17, BG38:BG41), 2)</f>
        <v>0</v>
      </c>
      <c r="DV12" s="6">
        <f>LARGE((BH5:BH9, BH14:BH17, BH38:BH41), 2)</f>
        <v>0</v>
      </c>
      <c r="DW12" s="47">
        <f>LARGE((BI5:BI9, BI14:BI17, BI38:BI41), 2)</f>
        <v>0</v>
      </c>
      <c r="DX12" s="6">
        <f>LARGE((BJ5:BJ9, BJ14:BJ17, BJ38:BJ41), 2)</f>
        <v>0</v>
      </c>
      <c r="DY12" s="47">
        <f>LARGE((BK5:BK9, BK14:BK17, BK38:BK41), 2)</f>
        <v>0</v>
      </c>
      <c r="DZ12" s="6">
        <f>LARGE((BL5:BL9, BL14:BL17, BL38:BL41), 2)</f>
        <v>0</v>
      </c>
      <c r="EA12" s="47">
        <f>LARGE((BM5:BM9, BM14:BM17, BM38:BM41), 2)</f>
        <v>0</v>
      </c>
      <c r="EB12" s="6">
        <f>LARGE((BN5:BN9, BN14:BN17, BN38:BN41), 2)</f>
        <v>0</v>
      </c>
      <c r="EC12" s="47">
        <f>LARGE((BO5:BO9, BO14:BO17, BO38:BO41), 2)</f>
        <v>0</v>
      </c>
      <c r="ED12" s="6">
        <f>LARGE((BP5:BP9, BP14:BP17, BP38:BP41), 2)</f>
        <v>0</v>
      </c>
      <c r="EE12" s="47">
        <f>LARGE((BQ5:BQ9, BQ14:BQ17, BQ38:BQ41), 2)</f>
        <v>0</v>
      </c>
      <c r="EF12" s="6">
        <f>LARGE((BR5:BR9, BR14:BR17, BR38:BR41), 2)</f>
        <v>0</v>
      </c>
      <c r="EG12" s="47">
        <f>LARGE((BS5:BS9, BS14:BS17, BS38:BS41), 2)</f>
        <v>0</v>
      </c>
      <c r="EH12" s="6">
        <f>LARGE((BT5:BT9, BT14:BT17, BT38:BT41), 2)</f>
        <v>0</v>
      </c>
      <c r="EI12" s="47">
        <f>LARGE((BU5:BU9, BU14:BU17, BU38:BU41), 2)</f>
        <v>0</v>
      </c>
      <c r="EJ12" s="6">
        <f>LARGE((BV5:BV9, BV14:BV17, BV38:BV41), 2)</f>
        <v>0</v>
      </c>
      <c r="EK12" s="47">
        <f>LARGE((BW5:BW9, BW14:BW17, BW38:BW41), 2)</f>
        <v>0</v>
      </c>
      <c r="EL12" s="6">
        <f>LARGE((BX5:BX9, BX14:BX17, BX38:BX41), 2)</f>
        <v>0</v>
      </c>
      <c r="EM12" s="47">
        <f>LARGE((BY5:BY9, BY14:BY17, BY38:BY41), 2)</f>
        <v>0</v>
      </c>
      <c r="EN12" s="6">
        <f>LARGE((BZ5:BZ9, BZ14:BZ17, BZ38:BZ41), 2)</f>
        <v>0</v>
      </c>
      <c r="EO12" s="47">
        <f>LARGE((CA5:CA9, CA14:CA17, CA38:CA41), 2)</f>
        <v>0</v>
      </c>
      <c r="EP12" s="6">
        <f>LARGE((CB5:CB9, CB14:CB17, CB38:CB41), 2)</f>
        <v>0</v>
      </c>
      <c r="EQ12" s="47">
        <f>LARGE((CC5:CC9, CC14:CC17, CC38:CC41), 2)</f>
        <v>0</v>
      </c>
      <c r="ER12" s="6">
        <f>LARGE((CD5:CD9, CD14:CD17, CD38:CD41), 2)</f>
        <v>0</v>
      </c>
      <c r="ES12" s="47">
        <f>LARGE((CE5:CE9, CE14:CE17, CE38:CE41), 2)</f>
        <v>0</v>
      </c>
      <c r="ET12" s="250"/>
      <c r="EU12" s="252"/>
      <c r="EX12" s="244"/>
      <c r="EY12" s="192"/>
    </row>
    <row r="13" spans="2:155" ht="16.8" customHeight="1" x14ac:dyDescent="0.3">
      <c r="B13" s="8" t="s">
        <v>27</v>
      </c>
      <c r="C13" s="162" t="s">
        <v>262</v>
      </c>
      <c r="D13" s="162" t="s">
        <v>631</v>
      </c>
      <c r="E13" s="162" t="s">
        <v>711</v>
      </c>
      <c r="F13" s="71" t="s">
        <v>6</v>
      </c>
      <c r="G13" s="74" t="s">
        <v>9</v>
      </c>
      <c r="H13" s="78" t="s">
        <v>11</v>
      </c>
      <c r="I13" s="11">
        <f>SUM(BD15:CG15)</f>
        <v>0</v>
      </c>
      <c r="L13" s="162" t="s">
        <v>631</v>
      </c>
      <c r="M13" s="5"/>
      <c r="N13" s="16"/>
      <c r="O13" s="5"/>
      <c r="P13" s="16"/>
      <c r="Q13" s="5"/>
      <c r="R13" s="16"/>
      <c r="S13" s="5"/>
      <c r="T13" s="16"/>
      <c r="U13" s="5"/>
      <c r="V13" s="16"/>
      <c r="W13" s="5"/>
      <c r="X13" s="16"/>
      <c r="Y13" s="5"/>
      <c r="Z13" s="16"/>
      <c r="AA13" s="5"/>
      <c r="AB13" s="16"/>
      <c r="AC13" s="5"/>
      <c r="AD13" s="16"/>
      <c r="AE13" s="5"/>
      <c r="AF13" s="16"/>
      <c r="AG13" s="5"/>
      <c r="AH13" s="16"/>
      <c r="AI13" s="5"/>
      <c r="AJ13" s="16"/>
      <c r="AK13" s="5"/>
      <c r="AL13" s="16"/>
      <c r="AM13" s="5"/>
      <c r="AN13" s="16"/>
      <c r="AO13" s="5"/>
      <c r="AP13" s="16"/>
      <c r="AS13" s="8" t="s">
        <v>27</v>
      </c>
      <c r="AT13" s="36" t="s">
        <v>339</v>
      </c>
      <c r="AU13" s="11">
        <f t="shared" si="2"/>
        <v>0</v>
      </c>
      <c r="AX13" s="70" t="s">
        <v>594</v>
      </c>
      <c r="AY13" s="75" t="s">
        <v>597</v>
      </c>
      <c r="AZ13" s="67" t="s">
        <v>596</v>
      </c>
      <c r="BC13" s="35" t="s">
        <v>340</v>
      </c>
      <c r="BD13" s="6">
        <f>IF(M39 &lt;&gt; "", VLOOKUP(CONCATENATE("P", M39), pointsSystem2, 2, FALSE), 0)</f>
        <v>0</v>
      </c>
      <c r="BE13" s="47">
        <f>IF(N39 &lt;&gt; "", VLOOKUP(CONCATENATE("P", N39), pointsSystem2, 3, FALSE), 0)</f>
        <v>0</v>
      </c>
      <c r="BF13" s="6">
        <f>IF(O39 &lt;&gt; "", VLOOKUP(CONCATENATE("P", O39), pointsSystem2, 2, FALSE), 0)</f>
        <v>0</v>
      </c>
      <c r="BG13" s="47">
        <f>IF(P39 &lt;&gt; "", VLOOKUP(CONCATENATE("P", P39), pointsSystem2, 3, FALSE), 0)</f>
        <v>0</v>
      </c>
      <c r="BH13" s="6">
        <f>IF(Q39 &lt;&gt; "", VLOOKUP(CONCATENATE("P", Q39), pointsSystem2, 2, FALSE), 0)</f>
        <v>0</v>
      </c>
      <c r="BI13" s="47">
        <f>IF(R39 &lt;&gt; "", VLOOKUP(CONCATENATE("P", R39), pointsSystem2, 3, FALSE), 0)</f>
        <v>0</v>
      </c>
      <c r="BJ13" s="6">
        <f>IF(S39 &lt;&gt; "", VLOOKUP(CONCATENATE("P", S39), pointsSystem2, 2, FALSE), 0)</f>
        <v>0</v>
      </c>
      <c r="BK13" s="47">
        <f>IF(T39 &lt;&gt; "", VLOOKUP(CONCATENATE("P", T39), pointsSystem2, 3, FALSE), 0)</f>
        <v>0</v>
      </c>
      <c r="BL13" s="6">
        <f>IF(U39 &lt;&gt; "", VLOOKUP(CONCATENATE("P", U39), pointsSystem2, 2, FALSE), 0)</f>
        <v>0</v>
      </c>
      <c r="BM13" s="47">
        <f>IF(V39 &lt;&gt; "", VLOOKUP(CONCATENATE("P", V39), pointsSystem2, 3, FALSE), 0)</f>
        <v>0</v>
      </c>
      <c r="BN13" s="6">
        <f>IF(W39 &lt;&gt; "", VLOOKUP(CONCATENATE("P", W39), pointsSystem2, 2, FALSE), 0)</f>
        <v>0</v>
      </c>
      <c r="BO13" s="47">
        <f>IF(X39 &lt;&gt; "", VLOOKUP(CONCATENATE("P", X39), pointsSystem2, 3, FALSE), 0)</f>
        <v>0</v>
      </c>
      <c r="BP13" s="6">
        <f>IF(Y39 &lt;&gt; "", VLOOKUP(CONCATENATE("P", Y39), pointsSystem2, 2, FALSE), 0)</f>
        <v>0</v>
      </c>
      <c r="BQ13" s="47">
        <f>IF(Z39 &lt;&gt; "", VLOOKUP(CONCATENATE("P", Z39), pointsSystem2, 3, FALSE), 0)</f>
        <v>0</v>
      </c>
      <c r="BR13" s="6">
        <f>IF(AA39 &lt;&gt; "", VLOOKUP(CONCATENATE("P", AA39), pointsSystem2, 2, FALSE), 0)</f>
        <v>0</v>
      </c>
      <c r="BS13" s="47">
        <f>IF(AB39 &lt;&gt; "", VLOOKUP(CONCATENATE("P", AB39), pointsSystem2, 3, FALSE), 0)</f>
        <v>0</v>
      </c>
      <c r="BT13" s="6">
        <f>IF(AC39 &lt;&gt; "", VLOOKUP(CONCATENATE("P", AC39), pointsSystem2, 2, FALSE), 0)</f>
        <v>0</v>
      </c>
      <c r="BU13" s="47">
        <f>IF(AD39 &lt;&gt; "", VLOOKUP(CONCATENATE("P", AD39), pointsSystem2, 3, FALSE), 0)</f>
        <v>0</v>
      </c>
      <c r="BV13" s="6">
        <f>IF(AE39 &lt;&gt; "", VLOOKUP(CONCATENATE("P", AE39), pointsSystem2, 2, FALSE), 0)</f>
        <v>0</v>
      </c>
      <c r="BW13" s="47">
        <f>IF(AF39 &lt;&gt; "", VLOOKUP(CONCATENATE("P", AF39), pointsSystem2, 3, FALSE), 0)</f>
        <v>0</v>
      </c>
      <c r="BX13" s="6">
        <f>IF(AG39 &lt;&gt; "", VLOOKUP(CONCATENATE("P", AG39), pointsSystem2, 2, FALSE), 0)</f>
        <v>0</v>
      </c>
      <c r="BY13" s="47">
        <f>IF(AH39 &lt;&gt; "", VLOOKUP(CONCATENATE("P", AH39), pointsSystem2, 3, FALSE), 0)</f>
        <v>0</v>
      </c>
      <c r="BZ13" s="6">
        <f>IF(AI39 &lt;&gt; "", VLOOKUP(CONCATENATE("P", AI39), pointsSystem2, 2, FALSE), 0)</f>
        <v>0</v>
      </c>
      <c r="CA13" s="47">
        <f>IF(AJ39 &lt;&gt; "", VLOOKUP(CONCATENATE("P", AJ39), pointsSystem2, 3, FALSE), 0)</f>
        <v>0</v>
      </c>
      <c r="CB13" s="6">
        <f>IF(AK39 &lt;&gt; "", VLOOKUP(CONCATENATE("P", AK39), pointsSystem2, 2, FALSE), 0)</f>
        <v>0</v>
      </c>
      <c r="CC13" s="47">
        <f>IF(AL39 &lt;&gt; "", VLOOKUP(CONCATENATE("P", AL39), pointsSystem2, 3, FALSE), 0)</f>
        <v>0</v>
      </c>
      <c r="CD13" s="6">
        <f>IF(AM39 &lt;&gt; "", VLOOKUP(CONCATENATE("P", AM39), pointsSystem2, 2, FALSE), 0)</f>
        <v>0</v>
      </c>
      <c r="CE13" s="47">
        <f>IF(AN39 &lt;&gt; "", VLOOKUP(CONCATENATE("P", AN39), pointsSystem2, 3, FALSE), 0)</f>
        <v>0</v>
      </c>
      <c r="CF13" s="6">
        <f>AO39 * 3</f>
        <v>0</v>
      </c>
      <c r="CG13" s="47">
        <f>AP39 * 1</f>
        <v>0</v>
      </c>
      <c r="CJ13" s="36" t="s">
        <v>339</v>
      </c>
      <c r="CK13" s="6">
        <f t="shared" ref="CK13:DL13" si="13">MAX(BD38:BD41) + LARGE(BD38:BD41, 2)</f>
        <v>0</v>
      </c>
      <c r="CL13" s="47">
        <f t="shared" si="13"/>
        <v>0</v>
      </c>
      <c r="CM13" s="6">
        <f t="shared" si="13"/>
        <v>0</v>
      </c>
      <c r="CN13" s="47">
        <f t="shared" si="13"/>
        <v>0</v>
      </c>
      <c r="CO13" s="6">
        <f t="shared" si="13"/>
        <v>0</v>
      </c>
      <c r="CP13" s="47">
        <f t="shared" si="13"/>
        <v>0</v>
      </c>
      <c r="CQ13" s="6">
        <f t="shared" si="13"/>
        <v>0</v>
      </c>
      <c r="CR13" s="47">
        <f t="shared" si="13"/>
        <v>0</v>
      </c>
      <c r="CS13" s="6">
        <f t="shared" si="13"/>
        <v>0</v>
      </c>
      <c r="CT13" s="47">
        <f t="shared" si="13"/>
        <v>0</v>
      </c>
      <c r="CU13" s="6">
        <f t="shared" si="13"/>
        <v>0</v>
      </c>
      <c r="CV13" s="47">
        <f t="shared" si="13"/>
        <v>0</v>
      </c>
      <c r="CW13" s="6">
        <f t="shared" si="13"/>
        <v>0</v>
      </c>
      <c r="CX13" s="47">
        <f t="shared" si="13"/>
        <v>0</v>
      </c>
      <c r="CY13" s="6">
        <f t="shared" si="13"/>
        <v>0</v>
      </c>
      <c r="CZ13" s="47">
        <f t="shared" si="13"/>
        <v>0</v>
      </c>
      <c r="DA13" s="6">
        <f t="shared" si="13"/>
        <v>0</v>
      </c>
      <c r="DB13" s="47">
        <f t="shared" si="13"/>
        <v>0</v>
      </c>
      <c r="DC13" s="6">
        <f t="shared" si="13"/>
        <v>0</v>
      </c>
      <c r="DD13" s="47">
        <f t="shared" si="13"/>
        <v>0</v>
      </c>
      <c r="DE13" s="6">
        <f t="shared" si="13"/>
        <v>0</v>
      </c>
      <c r="DF13" s="47">
        <f t="shared" si="13"/>
        <v>0</v>
      </c>
      <c r="DG13" s="6">
        <f t="shared" si="13"/>
        <v>0</v>
      </c>
      <c r="DH13" s="47">
        <f t="shared" si="13"/>
        <v>0</v>
      </c>
      <c r="DI13" s="6">
        <f t="shared" si="13"/>
        <v>0</v>
      </c>
      <c r="DJ13" s="47">
        <f t="shared" si="13"/>
        <v>0</v>
      </c>
      <c r="DK13" s="6">
        <f t="shared" si="13"/>
        <v>0</v>
      </c>
      <c r="DL13" s="47">
        <f t="shared" si="13"/>
        <v>0</v>
      </c>
      <c r="DM13" s="6">
        <f>SUM(CF38:CF41)</f>
        <v>0</v>
      </c>
      <c r="DN13" s="47">
        <f>SUM(CG38:CG41)</f>
        <v>0</v>
      </c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0"/>
      <c r="EF13" s="130"/>
      <c r="EG13" s="130"/>
      <c r="EH13" s="130"/>
      <c r="EI13" s="130"/>
      <c r="EJ13" s="130"/>
      <c r="EK13" s="130"/>
      <c r="EL13" s="130"/>
      <c r="EM13" s="130"/>
      <c r="EN13" s="130"/>
      <c r="EO13" s="130"/>
      <c r="EP13" s="130"/>
      <c r="EQ13" s="130"/>
      <c r="ER13" s="130"/>
      <c r="ES13" s="130"/>
      <c r="ET13" s="130"/>
      <c r="EU13" s="130"/>
    </row>
    <row r="14" spans="2:155" ht="16.8" customHeight="1" thickBot="1" x14ac:dyDescent="0.35">
      <c r="B14" s="8" t="s">
        <v>28</v>
      </c>
      <c r="C14" s="162" t="s">
        <v>207</v>
      </c>
      <c r="D14" s="162" t="s">
        <v>632</v>
      </c>
      <c r="E14" s="162" t="s">
        <v>711</v>
      </c>
      <c r="F14" s="71" t="s">
        <v>6</v>
      </c>
      <c r="G14" s="74" t="s">
        <v>9</v>
      </c>
      <c r="H14" s="78" t="s">
        <v>11</v>
      </c>
      <c r="I14" s="11">
        <f>SUM(BD16:CG16)</f>
        <v>0</v>
      </c>
      <c r="L14" s="162" t="s">
        <v>632</v>
      </c>
      <c r="M14" s="5"/>
      <c r="N14" s="16"/>
      <c r="O14" s="5"/>
      <c r="P14" s="16"/>
      <c r="Q14" s="5"/>
      <c r="R14" s="16"/>
      <c r="S14" s="5"/>
      <c r="T14" s="16"/>
      <c r="U14" s="5"/>
      <c r="V14" s="16"/>
      <c r="W14" s="5"/>
      <c r="X14" s="16"/>
      <c r="Y14" s="5"/>
      <c r="Z14" s="16"/>
      <c r="AA14" s="5"/>
      <c r="AB14" s="16"/>
      <c r="AC14" s="5"/>
      <c r="AD14" s="16"/>
      <c r="AE14" s="5"/>
      <c r="AF14" s="16"/>
      <c r="AG14" s="5"/>
      <c r="AH14" s="16"/>
      <c r="AI14" s="5"/>
      <c r="AJ14" s="16"/>
      <c r="AK14" s="5"/>
      <c r="AL14" s="16"/>
      <c r="AM14" s="5"/>
      <c r="AN14" s="16"/>
      <c r="AO14" s="5"/>
      <c r="AP14" s="16"/>
      <c r="AS14" s="137" t="s">
        <v>28</v>
      </c>
      <c r="AT14" s="131" t="s">
        <v>605</v>
      </c>
      <c r="AU14" s="84">
        <f t="shared" si="2"/>
        <v>0</v>
      </c>
      <c r="AX14" s="71" t="s">
        <v>125</v>
      </c>
      <c r="AY14" s="74" t="s">
        <v>125</v>
      </c>
      <c r="AZ14" s="78" t="s">
        <v>599</v>
      </c>
      <c r="BC14" s="162" t="s">
        <v>630</v>
      </c>
      <c r="BD14" s="6">
        <f>IF(M12 &lt;&gt; "", VLOOKUP(CONCATENATE("P", M12), pointsSystem2, 2, FALSE), 0)</f>
        <v>0</v>
      </c>
      <c r="BE14" s="47">
        <f>IF(N12 &lt;&gt; "", VLOOKUP(CONCATENATE("P", N12), pointsSystem2, 3, FALSE), 0)</f>
        <v>0</v>
      </c>
      <c r="BF14" s="6">
        <f>IF(O12 &lt;&gt; "", VLOOKUP(CONCATENATE("P", O12), pointsSystem2, 2, FALSE), 0)</f>
        <v>0</v>
      </c>
      <c r="BG14" s="47">
        <f>IF(P12 &lt;&gt; "", VLOOKUP(CONCATENATE("P", P12), pointsSystem2, 3, FALSE), 0)</f>
        <v>0</v>
      </c>
      <c r="BH14" s="6">
        <f>IF(Q12 &lt;&gt; "", VLOOKUP(CONCATENATE("P", Q12), pointsSystem2, 2, FALSE), 0)</f>
        <v>0</v>
      </c>
      <c r="BI14" s="47">
        <f>IF(R12 &lt;&gt; "", VLOOKUP(CONCATENATE("P", R12), pointsSystem2, 3, FALSE), 0)</f>
        <v>0</v>
      </c>
      <c r="BJ14" s="6">
        <f>IF(S12 &lt;&gt; "", VLOOKUP(CONCATENATE("P", S12), pointsSystem2, 2, FALSE), 0)</f>
        <v>0</v>
      </c>
      <c r="BK14" s="47">
        <f>IF(T12 &lt;&gt; "", VLOOKUP(CONCATENATE("P", T12), pointsSystem2, 3, FALSE), 0)</f>
        <v>0</v>
      </c>
      <c r="BL14" s="6">
        <f>IF(U12 &lt;&gt; "", VLOOKUP(CONCATENATE("P", U12), pointsSystem2, 2, FALSE), 0)</f>
        <v>0</v>
      </c>
      <c r="BM14" s="47">
        <f>IF(V12 &lt;&gt; "", VLOOKUP(CONCATENATE("P", V12), pointsSystem2, 3, FALSE), 0)</f>
        <v>0</v>
      </c>
      <c r="BN14" s="6">
        <f>IF(W12 &lt;&gt; "", VLOOKUP(CONCATENATE("P", W12), pointsSystem2, 2, FALSE), 0)</f>
        <v>0</v>
      </c>
      <c r="BO14" s="47">
        <f>IF(X12 &lt;&gt; "", VLOOKUP(CONCATENATE("P", X12), pointsSystem2, 3, FALSE), 0)</f>
        <v>0</v>
      </c>
      <c r="BP14" s="6">
        <f>IF(Y12 &lt;&gt; "", VLOOKUP(CONCATENATE("P", Y12), pointsSystem2, 2, FALSE), 0)</f>
        <v>0</v>
      </c>
      <c r="BQ14" s="47">
        <f>IF(Z12 &lt;&gt; "", VLOOKUP(CONCATENATE("P", Z12), pointsSystem2, 3, FALSE), 0)</f>
        <v>0</v>
      </c>
      <c r="BR14" s="6">
        <f>IF(AA12 &lt;&gt; "", VLOOKUP(CONCATENATE("P", AA12), pointsSystem2, 2, FALSE), 0)</f>
        <v>0</v>
      </c>
      <c r="BS14" s="47">
        <f>IF(AB12 &lt;&gt; "", VLOOKUP(CONCATENATE("P", AB12), pointsSystem2, 3, FALSE), 0)</f>
        <v>0</v>
      </c>
      <c r="BT14" s="6">
        <f>IF(AC12 &lt;&gt; "", VLOOKUP(CONCATENATE("P", AC12), pointsSystem2, 2, FALSE), 0)</f>
        <v>0</v>
      </c>
      <c r="BU14" s="47">
        <f>IF(AD12 &lt;&gt; "", VLOOKUP(CONCATENATE("P", AD12), pointsSystem2, 3, FALSE), 0)</f>
        <v>0</v>
      </c>
      <c r="BV14" s="6">
        <f>IF(AE12 &lt;&gt; "", VLOOKUP(CONCATENATE("P", AE12), pointsSystem2, 2, FALSE), 0)</f>
        <v>0</v>
      </c>
      <c r="BW14" s="47">
        <f>IF(AF12 &lt;&gt; "", VLOOKUP(CONCATENATE("P", AF12), pointsSystem2, 3, FALSE), 0)</f>
        <v>0</v>
      </c>
      <c r="BX14" s="6">
        <f>IF(AG12 &lt;&gt; "", VLOOKUP(CONCATENATE("P", AG12), pointsSystem2, 2, FALSE), 0)</f>
        <v>0</v>
      </c>
      <c r="BY14" s="47">
        <f>IF(AH12 &lt;&gt; "", VLOOKUP(CONCATENATE("P", AH12), pointsSystem2, 3, FALSE), 0)</f>
        <v>0</v>
      </c>
      <c r="BZ14" s="6">
        <f>IF(AI12 &lt;&gt; "", VLOOKUP(CONCATENATE("P", AI12), pointsSystem2, 2, FALSE), 0)</f>
        <v>0</v>
      </c>
      <c r="CA14" s="47">
        <f>IF(AJ12 &lt;&gt; "", VLOOKUP(CONCATENATE("P", AJ12), pointsSystem2, 3, FALSE), 0)</f>
        <v>0</v>
      </c>
      <c r="CB14" s="6">
        <f>IF(AK12 &lt;&gt; "", VLOOKUP(CONCATENATE("P", AK12), pointsSystem2, 2, FALSE), 0)</f>
        <v>0</v>
      </c>
      <c r="CC14" s="47">
        <f>IF(AL12 &lt;&gt; "", VLOOKUP(CONCATENATE("P", AL12), pointsSystem2, 3, FALSE), 0)</f>
        <v>0</v>
      </c>
      <c r="CD14" s="6">
        <f>IF(AM12 &lt;&gt; "", VLOOKUP(CONCATENATE("P", AM12), pointsSystem2, 2, FALSE), 0)</f>
        <v>0</v>
      </c>
      <c r="CE14" s="47">
        <f>IF(AN12 &lt;&gt; "", VLOOKUP(CONCATENATE("P", AN12), pointsSystem2, 3, FALSE), 0)</f>
        <v>0</v>
      </c>
      <c r="CF14" s="6">
        <f>AO12 * 3</f>
        <v>0</v>
      </c>
      <c r="CG14" s="47">
        <f>AP12 * 1</f>
        <v>0</v>
      </c>
      <c r="CJ14" s="131" t="s">
        <v>605</v>
      </c>
      <c r="CK14" s="6">
        <f t="shared" ref="CK14:DL14" si="14">MAX(BD42:BD45) + LARGE(BD42:BD45, 2)</f>
        <v>0</v>
      </c>
      <c r="CL14" s="47">
        <f t="shared" si="14"/>
        <v>0</v>
      </c>
      <c r="CM14" s="6">
        <f t="shared" si="14"/>
        <v>0</v>
      </c>
      <c r="CN14" s="47">
        <f t="shared" si="14"/>
        <v>0</v>
      </c>
      <c r="CO14" s="6">
        <f t="shared" si="14"/>
        <v>0</v>
      </c>
      <c r="CP14" s="47">
        <f t="shared" si="14"/>
        <v>0</v>
      </c>
      <c r="CQ14" s="6">
        <f t="shared" si="14"/>
        <v>0</v>
      </c>
      <c r="CR14" s="47">
        <f t="shared" si="14"/>
        <v>0</v>
      </c>
      <c r="CS14" s="6">
        <f t="shared" si="14"/>
        <v>0</v>
      </c>
      <c r="CT14" s="47">
        <f t="shared" si="14"/>
        <v>0</v>
      </c>
      <c r="CU14" s="6">
        <f t="shared" si="14"/>
        <v>0</v>
      </c>
      <c r="CV14" s="47">
        <f t="shared" si="14"/>
        <v>0</v>
      </c>
      <c r="CW14" s="6">
        <f t="shared" si="14"/>
        <v>0</v>
      </c>
      <c r="CX14" s="47">
        <f t="shared" si="14"/>
        <v>0</v>
      </c>
      <c r="CY14" s="6">
        <f t="shared" si="14"/>
        <v>0</v>
      </c>
      <c r="CZ14" s="47">
        <f t="shared" si="14"/>
        <v>0</v>
      </c>
      <c r="DA14" s="6">
        <f t="shared" si="14"/>
        <v>0</v>
      </c>
      <c r="DB14" s="47">
        <f t="shared" si="14"/>
        <v>0</v>
      </c>
      <c r="DC14" s="6">
        <f t="shared" si="14"/>
        <v>0</v>
      </c>
      <c r="DD14" s="47">
        <f t="shared" si="14"/>
        <v>0</v>
      </c>
      <c r="DE14" s="6">
        <f t="shared" si="14"/>
        <v>0</v>
      </c>
      <c r="DF14" s="47">
        <f t="shared" si="14"/>
        <v>0</v>
      </c>
      <c r="DG14" s="6">
        <f t="shared" si="14"/>
        <v>0</v>
      </c>
      <c r="DH14" s="47">
        <f t="shared" si="14"/>
        <v>0</v>
      </c>
      <c r="DI14" s="6">
        <f t="shared" si="14"/>
        <v>0</v>
      </c>
      <c r="DJ14" s="47">
        <f t="shared" si="14"/>
        <v>0</v>
      </c>
      <c r="DK14" s="6">
        <f t="shared" si="14"/>
        <v>0</v>
      </c>
      <c r="DL14" s="47">
        <f t="shared" si="14"/>
        <v>0</v>
      </c>
      <c r="DM14" s="6">
        <f>SUM(CF42:CF45)</f>
        <v>0</v>
      </c>
      <c r="DN14" s="47">
        <f>SUM(CG42:CG45)</f>
        <v>0</v>
      </c>
      <c r="DQ14" s="146"/>
      <c r="DR14" s="146"/>
      <c r="DS14" s="146"/>
      <c r="DT14" s="146"/>
      <c r="DU14" s="146"/>
      <c r="DV14" s="146"/>
      <c r="DW14" s="146"/>
      <c r="DX14" s="146"/>
      <c r="DY14" s="146"/>
      <c r="DZ14" s="146"/>
      <c r="EA14" s="146"/>
      <c r="EB14" s="146"/>
      <c r="EC14" s="146"/>
      <c r="ED14" s="146"/>
      <c r="EE14" s="146"/>
      <c r="EF14" s="146"/>
      <c r="EG14" s="146"/>
      <c r="EH14" s="146"/>
      <c r="EI14" s="146"/>
      <c r="EJ14" s="146"/>
      <c r="EK14" s="146"/>
      <c r="EL14" s="146"/>
      <c r="EM14" s="146"/>
      <c r="EN14" s="146"/>
      <c r="EO14" s="146"/>
      <c r="EP14" s="146"/>
      <c r="EQ14" s="146"/>
      <c r="ER14" s="146"/>
      <c r="ES14" s="146"/>
      <c r="ET14" s="146"/>
      <c r="EU14" s="146"/>
    </row>
    <row r="15" spans="2:155" ht="16.8" customHeight="1" thickBot="1" x14ac:dyDescent="0.35">
      <c r="B15" s="8" t="s">
        <v>29</v>
      </c>
      <c r="C15" s="139" t="s">
        <v>193</v>
      </c>
      <c r="D15" s="139" t="s">
        <v>674</v>
      </c>
      <c r="E15" s="139" t="s">
        <v>607</v>
      </c>
      <c r="F15" s="72" t="s">
        <v>439</v>
      </c>
      <c r="G15" s="76" t="s">
        <v>10</v>
      </c>
      <c r="H15" s="67" t="s">
        <v>13</v>
      </c>
      <c r="I15" s="11">
        <f>SUM(BD18:CG18)</f>
        <v>0</v>
      </c>
      <c r="L15" s="139" t="s">
        <v>674</v>
      </c>
      <c r="M15" s="5"/>
      <c r="N15" s="16"/>
      <c r="O15" s="5"/>
      <c r="P15" s="16"/>
      <c r="Q15" s="5"/>
      <c r="R15" s="16"/>
      <c r="S15" s="5"/>
      <c r="T15" s="16"/>
      <c r="U15" s="5"/>
      <c r="V15" s="16"/>
      <c r="W15" s="5"/>
      <c r="X15" s="16"/>
      <c r="Y15" s="5"/>
      <c r="Z15" s="16"/>
      <c r="AA15" s="5"/>
      <c r="AB15" s="16"/>
      <c r="AC15" s="5"/>
      <c r="AD15" s="16"/>
      <c r="AE15" s="5"/>
      <c r="AF15" s="16"/>
      <c r="AG15" s="5"/>
      <c r="AH15" s="16"/>
      <c r="AI15" s="5"/>
      <c r="AJ15" s="16"/>
      <c r="AK15" s="5"/>
      <c r="AL15" s="16"/>
      <c r="AM15" s="5"/>
      <c r="AN15" s="16"/>
      <c r="AO15" s="5"/>
      <c r="AP15" s="16"/>
      <c r="AS15" s="130"/>
      <c r="AT15" s="130"/>
      <c r="AU15" s="130"/>
      <c r="AX15" s="71" t="s">
        <v>125</v>
      </c>
      <c r="AY15" s="74" t="s">
        <v>125</v>
      </c>
      <c r="AZ15" s="78" t="s">
        <v>599</v>
      </c>
      <c r="BC15" s="162" t="s">
        <v>631</v>
      </c>
      <c r="BD15" s="6">
        <f>IF(M13 &lt;&gt; "", VLOOKUP(CONCATENATE("P", M13), pointsSystem2, 2, FALSE), 0)</f>
        <v>0</v>
      </c>
      <c r="BE15" s="47">
        <f>IF(N13 &lt;&gt; "", VLOOKUP(CONCATENATE("P", N13), pointsSystem2, 3, FALSE), 0)</f>
        <v>0</v>
      </c>
      <c r="BF15" s="6">
        <f>IF(O13 &lt;&gt; "", VLOOKUP(CONCATENATE("P", O13), pointsSystem2, 2, FALSE), 0)</f>
        <v>0</v>
      </c>
      <c r="BG15" s="47">
        <f>IF(P13 &lt;&gt; "", VLOOKUP(CONCATENATE("P", P13), pointsSystem2, 3, FALSE), 0)</f>
        <v>0</v>
      </c>
      <c r="BH15" s="6">
        <f>IF(Q13 &lt;&gt; "", VLOOKUP(CONCATENATE("P", Q13), pointsSystem2, 2, FALSE), 0)</f>
        <v>0</v>
      </c>
      <c r="BI15" s="47">
        <f>IF(R13 &lt;&gt; "", VLOOKUP(CONCATENATE("P", R13), pointsSystem2, 3, FALSE), 0)</f>
        <v>0</v>
      </c>
      <c r="BJ15" s="6">
        <f>IF(S13 &lt;&gt; "", VLOOKUP(CONCATENATE("P", S13), pointsSystem2, 2, FALSE), 0)</f>
        <v>0</v>
      </c>
      <c r="BK15" s="47">
        <f>IF(T13 &lt;&gt; "", VLOOKUP(CONCATENATE("P", T13), pointsSystem2, 3, FALSE), 0)</f>
        <v>0</v>
      </c>
      <c r="BL15" s="6">
        <f>IF(U13 &lt;&gt; "", VLOOKUP(CONCATENATE("P", U13), pointsSystem2, 2, FALSE), 0)</f>
        <v>0</v>
      </c>
      <c r="BM15" s="47">
        <f>IF(V13 &lt;&gt; "", VLOOKUP(CONCATENATE("P", V13), pointsSystem2, 3, FALSE), 0)</f>
        <v>0</v>
      </c>
      <c r="BN15" s="6">
        <f>IF(W13 &lt;&gt; "", VLOOKUP(CONCATENATE("P", W13), pointsSystem2, 2, FALSE), 0)</f>
        <v>0</v>
      </c>
      <c r="BO15" s="47">
        <f>IF(X13 &lt;&gt; "", VLOOKUP(CONCATENATE("P", X13), pointsSystem2, 3, FALSE), 0)</f>
        <v>0</v>
      </c>
      <c r="BP15" s="6">
        <f>IF(Y13 &lt;&gt; "", VLOOKUP(CONCATENATE("P", Y13), pointsSystem2, 2, FALSE), 0)</f>
        <v>0</v>
      </c>
      <c r="BQ15" s="47">
        <f>IF(Z13 &lt;&gt; "", VLOOKUP(CONCATENATE("P", Z13), pointsSystem2, 3, FALSE), 0)</f>
        <v>0</v>
      </c>
      <c r="BR15" s="6">
        <f>IF(AA13 &lt;&gt; "", VLOOKUP(CONCATENATE("P", AA13), pointsSystem2, 2, FALSE), 0)</f>
        <v>0</v>
      </c>
      <c r="BS15" s="47">
        <f>IF(AB13 &lt;&gt; "", VLOOKUP(CONCATENATE("P", AB13), pointsSystem2, 3, FALSE), 0)</f>
        <v>0</v>
      </c>
      <c r="BT15" s="6">
        <f>IF(AC13 &lt;&gt; "", VLOOKUP(CONCATENATE("P", AC13), pointsSystem2, 2, FALSE), 0)</f>
        <v>0</v>
      </c>
      <c r="BU15" s="47">
        <f>IF(AD13 &lt;&gt; "", VLOOKUP(CONCATENATE("P", AD13), pointsSystem2, 3, FALSE), 0)</f>
        <v>0</v>
      </c>
      <c r="BV15" s="6">
        <f>IF(AE13 &lt;&gt; "", VLOOKUP(CONCATENATE("P", AE13), pointsSystem2, 2, FALSE), 0)</f>
        <v>0</v>
      </c>
      <c r="BW15" s="47">
        <f>IF(AF13 &lt;&gt; "", VLOOKUP(CONCATENATE("P", AF13), pointsSystem2, 3, FALSE), 0)</f>
        <v>0</v>
      </c>
      <c r="BX15" s="6">
        <f>IF(AG13 &lt;&gt; "", VLOOKUP(CONCATENATE("P", AG13), pointsSystem2, 2, FALSE), 0)</f>
        <v>0</v>
      </c>
      <c r="BY15" s="47">
        <f>IF(AH13 &lt;&gt; "", VLOOKUP(CONCATENATE("P", AH13), pointsSystem2, 3, FALSE), 0)</f>
        <v>0</v>
      </c>
      <c r="BZ15" s="6">
        <f>IF(AI13 &lt;&gt; "", VLOOKUP(CONCATENATE("P", AI13), pointsSystem2, 2, FALSE), 0)</f>
        <v>0</v>
      </c>
      <c r="CA15" s="47">
        <f>IF(AJ13 &lt;&gt; "", VLOOKUP(CONCATENATE("P", AJ13), pointsSystem2, 3, FALSE), 0)</f>
        <v>0</v>
      </c>
      <c r="CB15" s="6">
        <f>IF(AK13 &lt;&gt; "", VLOOKUP(CONCATENATE("P", AK13), pointsSystem2, 2, FALSE), 0)</f>
        <v>0</v>
      </c>
      <c r="CC15" s="47">
        <f>IF(AL13 &lt;&gt; "", VLOOKUP(CONCATENATE("P", AL13), pointsSystem2, 3, FALSE), 0)</f>
        <v>0</v>
      </c>
      <c r="CD15" s="6">
        <f>IF(AM13 &lt;&gt; "", VLOOKUP(CONCATENATE("P", AM13), pointsSystem2, 2, FALSE), 0)</f>
        <v>0</v>
      </c>
      <c r="CE15" s="47">
        <f>IF(AN13 &lt;&gt; "", VLOOKUP(CONCATENATE("P", AN13), pointsSystem2, 3, FALSE), 0)</f>
        <v>0</v>
      </c>
      <c r="CF15" s="6">
        <f>AO13 * 3</f>
        <v>0</v>
      </c>
      <c r="CG15" s="47">
        <f>AP13 * 1</f>
        <v>0</v>
      </c>
      <c r="CJ15" s="130"/>
      <c r="CK15" s="130"/>
      <c r="CL15" s="130"/>
      <c r="CM15" s="130"/>
      <c r="CN15" s="130"/>
      <c r="CO15" s="130"/>
      <c r="CP15" s="130"/>
      <c r="CQ15" s="130"/>
      <c r="CR15" s="130"/>
      <c r="CS15" s="130"/>
      <c r="CT15" s="130"/>
      <c r="CU15" s="130"/>
      <c r="CV15" s="130"/>
      <c r="CW15" s="130"/>
      <c r="CX15" s="130"/>
      <c r="CY15" s="130"/>
      <c r="CZ15" s="130"/>
      <c r="DA15" s="130"/>
      <c r="DB15" s="130"/>
      <c r="DC15" s="130"/>
      <c r="DD15" s="130"/>
      <c r="DE15" s="130"/>
      <c r="DF15" s="130"/>
      <c r="DG15" s="130"/>
      <c r="DH15" s="130"/>
      <c r="DI15" s="130"/>
      <c r="DJ15" s="130"/>
      <c r="DK15" s="130"/>
      <c r="DL15" s="130"/>
      <c r="DM15" s="130"/>
      <c r="DN15" s="130"/>
      <c r="DQ15" s="192" t="s">
        <v>2</v>
      </c>
      <c r="DR15" s="229" t="s">
        <v>358</v>
      </c>
      <c r="DS15" s="178"/>
      <c r="DT15" s="229" t="s">
        <v>359</v>
      </c>
      <c r="DU15" s="178"/>
      <c r="DV15" s="229" t="s">
        <v>613</v>
      </c>
      <c r="DW15" s="178"/>
      <c r="DX15" s="229" t="s">
        <v>360</v>
      </c>
      <c r="DY15" s="178"/>
      <c r="DZ15" s="229" t="s">
        <v>361</v>
      </c>
      <c r="EA15" s="178"/>
      <c r="EB15" s="229" t="s">
        <v>362</v>
      </c>
      <c r="EC15" s="178"/>
      <c r="ED15" s="229" t="s">
        <v>363</v>
      </c>
      <c r="EE15" s="178"/>
      <c r="EF15" s="229" t="s">
        <v>364</v>
      </c>
      <c r="EG15" s="178"/>
      <c r="EH15" s="229" t="s">
        <v>365</v>
      </c>
      <c r="EI15" s="178"/>
      <c r="EJ15" s="229" t="s">
        <v>366</v>
      </c>
      <c r="EK15" s="178"/>
      <c r="EL15" s="229" t="s">
        <v>367</v>
      </c>
      <c r="EM15" s="178"/>
      <c r="EN15" s="229" t="s">
        <v>425</v>
      </c>
      <c r="EO15" s="178"/>
      <c r="EP15" s="229" t="s">
        <v>426</v>
      </c>
      <c r="EQ15" s="178"/>
      <c r="ER15" s="229" t="s">
        <v>591</v>
      </c>
      <c r="ES15" s="178"/>
      <c r="ET15" s="229" t="s">
        <v>58</v>
      </c>
      <c r="EU15" s="178"/>
      <c r="EX15" s="192" t="s">
        <v>2</v>
      </c>
      <c r="EY15" s="202" t="s">
        <v>45</v>
      </c>
    </row>
    <row r="16" spans="2:155" ht="16.8" customHeight="1" thickBot="1" x14ac:dyDescent="0.35">
      <c r="B16" s="8" t="s">
        <v>30</v>
      </c>
      <c r="C16" s="139" t="s">
        <v>563</v>
      </c>
      <c r="D16" s="139" t="s">
        <v>675</v>
      </c>
      <c r="E16" s="139" t="s">
        <v>607</v>
      </c>
      <c r="F16" s="72" t="s">
        <v>439</v>
      </c>
      <c r="G16" s="76" t="s">
        <v>10</v>
      </c>
      <c r="H16" s="67" t="s">
        <v>13</v>
      </c>
      <c r="I16" s="11">
        <f>SUM(BD19:CG19)</f>
        <v>0</v>
      </c>
      <c r="L16" s="139" t="s">
        <v>675</v>
      </c>
      <c r="M16" s="5"/>
      <c r="N16" s="16"/>
      <c r="O16" s="5"/>
      <c r="P16" s="16"/>
      <c r="Q16" s="5"/>
      <c r="R16" s="16"/>
      <c r="S16" s="5"/>
      <c r="T16" s="16"/>
      <c r="U16" s="5"/>
      <c r="V16" s="16"/>
      <c r="W16" s="5"/>
      <c r="X16" s="16"/>
      <c r="Y16" s="5"/>
      <c r="Z16" s="16"/>
      <c r="AA16" s="5"/>
      <c r="AB16" s="16"/>
      <c r="AC16" s="5"/>
      <c r="AD16" s="16"/>
      <c r="AE16" s="5"/>
      <c r="AF16" s="16"/>
      <c r="AG16" s="5"/>
      <c r="AH16" s="16"/>
      <c r="AI16" s="5"/>
      <c r="AJ16" s="16"/>
      <c r="AK16" s="5"/>
      <c r="AL16" s="16"/>
      <c r="AM16" s="5"/>
      <c r="AN16" s="16"/>
      <c r="AO16" s="5"/>
      <c r="AP16" s="16"/>
      <c r="AX16" s="71" t="s">
        <v>125</v>
      </c>
      <c r="AY16" s="74" t="s">
        <v>125</v>
      </c>
      <c r="AZ16" s="78" t="s">
        <v>599</v>
      </c>
      <c r="BC16" s="162" t="s">
        <v>632</v>
      </c>
      <c r="BD16" s="6">
        <f>IF(M14 &lt;&gt; "", VLOOKUP(CONCATENATE("P", M14), pointsSystem2, 2, FALSE), 0)</f>
        <v>0</v>
      </c>
      <c r="BE16" s="47">
        <f>IF(N14 &lt;&gt; "", VLOOKUP(CONCATENATE("P", N14), pointsSystem2, 3, FALSE), 0)</f>
        <v>0</v>
      </c>
      <c r="BF16" s="6">
        <f>IF(O14 &lt;&gt; "", VLOOKUP(CONCATENATE("P", O14), pointsSystem2, 2, FALSE), 0)</f>
        <v>0</v>
      </c>
      <c r="BG16" s="47">
        <f>IF(P14 &lt;&gt; "", VLOOKUP(CONCATENATE("P", P14), pointsSystem2, 3, FALSE), 0)</f>
        <v>0</v>
      </c>
      <c r="BH16" s="6">
        <f>IF(Q14 &lt;&gt; "", VLOOKUP(CONCATENATE("P", Q14), pointsSystem2, 2, FALSE), 0)</f>
        <v>0</v>
      </c>
      <c r="BI16" s="47">
        <f>IF(R14 &lt;&gt; "", VLOOKUP(CONCATENATE("P", R14), pointsSystem2, 3, FALSE), 0)</f>
        <v>0</v>
      </c>
      <c r="BJ16" s="6">
        <f>IF(S14 &lt;&gt; "", VLOOKUP(CONCATENATE("P", S14), pointsSystem2, 2, FALSE), 0)</f>
        <v>0</v>
      </c>
      <c r="BK16" s="47">
        <f>IF(T14 &lt;&gt; "", VLOOKUP(CONCATENATE("P", T14), pointsSystem2, 3, FALSE), 0)</f>
        <v>0</v>
      </c>
      <c r="BL16" s="6">
        <f>IF(U14 &lt;&gt; "", VLOOKUP(CONCATENATE("P", U14), pointsSystem2, 2, FALSE), 0)</f>
        <v>0</v>
      </c>
      <c r="BM16" s="47">
        <f>IF(V14 &lt;&gt; "", VLOOKUP(CONCATENATE("P", V14), pointsSystem2, 3, FALSE), 0)</f>
        <v>0</v>
      </c>
      <c r="BN16" s="6">
        <f>IF(W14 &lt;&gt; "", VLOOKUP(CONCATENATE("P", W14), pointsSystem2, 2, FALSE), 0)</f>
        <v>0</v>
      </c>
      <c r="BO16" s="47">
        <f>IF(X14 &lt;&gt; "", VLOOKUP(CONCATENATE("P", X14), pointsSystem2, 3, FALSE), 0)</f>
        <v>0</v>
      </c>
      <c r="BP16" s="6">
        <f>IF(Y14 &lt;&gt; "", VLOOKUP(CONCATENATE("P", Y14), pointsSystem2, 2, FALSE), 0)</f>
        <v>0</v>
      </c>
      <c r="BQ16" s="47">
        <f>IF(Z14 &lt;&gt; "", VLOOKUP(CONCATENATE("P", Z14), pointsSystem2, 3, FALSE), 0)</f>
        <v>0</v>
      </c>
      <c r="BR16" s="6">
        <f>IF(AA14 &lt;&gt; "", VLOOKUP(CONCATENATE("P", AA14), pointsSystem2, 2, FALSE), 0)</f>
        <v>0</v>
      </c>
      <c r="BS16" s="47">
        <f>IF(AB14 &lt;&gt; "", VLOOKUP(CONCATENATE("P", AB14), pointsSystem2, 3, FALSE), 0)</f>
        <v>0</v>
      </c>
      <c r="BT16" s="6">
        <f>IF(AC14 &lt;&gt; "", VLOOKUP(CONCATENATE("P", AC14), pointsSystem2, 2, FALSE), 0)</f>
        <v>0</v>
      </c>
      <c r="BU16" s="47">
        <f>IF(AD14 &lt;&gt; "", VLOOKUP(CONCATENATE("P", AD14), pointsSystem2, 3, FALSE), 0)</f>
        <v>0</v>
      </c>
      <c r="BV16" s="6">
        <f>IF(AE14 &lt;&gt; "", VLOOKUP(CONCATENATE("P", AE14), pointsSystem2, 2, FALSE), 0)</f>
        <v>0</v>
      </c>
      <c r="BW16" s="47">
        <f>IF(AF14 &lt;&gt; "", VLOOKUP(CONCATENATE("P", AF14), pointsSystem2, 3, FALSE), 0)</f>
        <v>0</v>
      </c>
      <c r="BX16" s="6">
        <f>IF(AG14 &lt;&gt; "", VLOOKUP(CONCATENATE("P", AG14), pointsSystem2, 2, FALSE), 0)</f>
        <v>0</v>
      </c>
      <c r="BY16" s="47">
        <f>IF(AH14 &lt;&gt; "", VLOOKUP(CONCATENATE("P", AH14), pointsSystem2, 3, FALSE), 0)</f>
        <v>0</v>
      </c>
      <c r="BZ16" s="6">
        <f>IF(AI14 &lt;&gt; "", VLOOKUP(CONCATENATE("P", AI14), pointsSystem2, 2, FALSE), 0)</f>
        <v>0</v>
      </c>
      <c r="CA16" s="47">
        <f>IF(AJ14 &lt;&gt; "", VLOOKUP(CONCATENATE("P", AJ14), pointsSystem2, 3, FALSE), 0)</f>
        <v>0</v>
      </c>
      <c r="CB16" s="6">
        <f>IF(AK14 &lt;&gt; "", VLOOKUP(CONCATENATE("P", AK14), pointsSystem2, 2, FALSE), 0)</f>
        <v>0</v>
      </c>
      <c r="CC16" s="47">
        <f>IF(AL14 &lt;&gt; "", VLOOKUP(CONCATENATE("P", AL14), pointsSystem2, 3, FALSE), 0)</f>
        <v>0</v>
      </c>
      <c r="CD16" s="6">
        <f>IF(AM14 &lt;&gt; "", VLOOKUP(CONCATENATE("P", AM14), pointsSystem2, 2, FALSE), 0)</f>
        <v>0</v>
      </c>
      <c r="CE16" s="47">
        <f>IF(AN14 &lt;&gt; "", VLOOKUP(CONCATENATE("P", AN14), pointsSystem2, 3, FALSE), 0)</f>
        <v>0</v>
      </c>
      <c r="CF16" s="6">
        <f>AO14 * 3</f>
        <v>0</v>
      </c>
      <c r="CG16" s="47">
        <f>AP14 * 1</f>
        <v>0</v>
      </c>
      <c r="DQ16" s="192"/>
      <c r="DR16" s="33" t="s">
        <v>17</v>
      </c>
      <c r="DS16" s="34" t="s">
        <v>18</v>
      </c>
      <c r="DT16" s="33" t="s">
        <v>17</v>
      </c>
      <c r="DU16" s="34" t="s">
        <v>18</v>
      </c>
      <c r="DV16" s="33" t="s">
        <v>17</v>
      </c>
      <c r="DW16" s="34" t="s">
        <v>18</v>
      </c>
      <c r="DX16" s="33" t="s">
        <v>17</v>
      </c>
      <c r="DY16" s="34" t="s">
        <v>18</v>
      </c>
      <c r="DZ16" s="33" t="s">
        <v>17</v>
      </c>
      <c r="EA16" s="34" t="s">
        <v>18</v>
      </c>
      <c r="EB16" s="33" t="s">
        <v>17</v>
      </c>
      <c r="EC16" s="34" t="s">
        <v>18</v>
      </c>
      <c r="ED16" s="33" t="s">
        <v>17</v>
      </c>
      <c r="EE16" s="34" t="s">
        <v>18</v>
      </c>
      <c r="EF16" s="33" t="s">
        <v>17</v>
      </c>
      <c r="EG16" s="34" t="s">
        <v>18</v>
      </c>
      <c r="EH16" s="33" t="s">
        <v>17</v>
      </c>
      <c r="EI16" s="34" t="s">
        <v>18</v>
      </c>
      <c r="EJ16" s="33" t="s">
        <v>17</v>
      </c>
      <c r="EK16" s="34" t="s">
        <v>18</v>
      </c>
      <c r="EL16" s="33" t="s">
        <v>17</v>
      </c>
      <c r="EM16" s="34" t="s">
        <v>18</v>
      </c>
      <c r="EN16" s="33" t="s">
        <v>17</v>
      </c>
      <c r="EO16" s="34" t="s">
        <v>18</v>
      </c>
      <c r="EP16" s="33" t="s">
        <v>17</v>
      </c>
      <c r="EQ16" s="34" t="s">
        <v>18</v>
      </c>
      <c r="ER16" s="33" t="s">
        <v>17</v>
      </c>
      <c r="ES16" s="34" t="s">
        <v>18</v>
      </c>
      <c r="ET16" s="33" t="s">
        <v>17</v>
      </c>
      <c r="EU16" s="34" t="s">
        <v>18</v>
      </c>
      <c r="EX16" s="192"/>
      <c r="EY16" s="192"/>
    </row>
    <row r="17" spans="2:155" ht="16.8" customHeight="1" thickBot="1" x14ac:dyDescent="0.35">
      <c r="B17" s="8" t="s">
        <v>46</v>
      </c>
      <c r="C17" s="139" t="s">
        <v>233</v>
      </c>
      <c r="D17" s="139" t="s">
        <v>676</v>
      </c>
      <c r="E17" s="139" t="s">
        <v>607</v>
      </c>
      <c r="F17" s="72" t="s">
        <v>439</v>
      </c>
      <c r="G17" s="76" t="s">
        <v>10</v>
      </c>
      <c r="H17" s="67" t="s">
        <v>13</v>
      </c>
      <c r="I17" s="11">
        <f>SUM(BD20:CG20)</f>
        <v>0</v>
      </c>
      <c r="L17" s="139" t="s">
        <v>676</v>
      </c>
      <c r="M17" s="5"/>
      <c r="N17" s="16"/>
      <c r="O17" s="5"/>
      <c r="P17" s="16"/>
      <c r="Q17" s="5"/>
      <c r="R17" s="16"/>
      <c r="S17" s="5"/>
      <c r="T17" s="16"/>
      <c r="U17" s="5"/>
      <c r="V17" s="16"/>
      <c r="W17" s="5"/>
      <c r="X17" s="16"/>
      <c r="Y17" s="5"/>
      <c r="Z17" s="16"/>
      <c r="AA17" s="5"/>
      <c r="AB17" s="16"/>
      <c r="AC17" s="5"/>
      <c r="AD17" s="16"/>
      <c r="AE17" s="5"/>
      <c r="AF17" s="16"/>
      <c r="AG17" s="5"/>
      <c r="AH17" s="16"/>
      <c r="AI17" s="5"/>
      <c r="AJ17" s="16"/>
      <c r="AK17" s="5"/>
      <c r="AL17" s="16"/>
      <c r="AM17" s="5"/>
      <c r="AN17" s="16"/>
      <c r="AO17" s="5"/>
      <c r="AP17" s="16"/>
      <c r="AX17" s="71" t="s">
        <v>125</v>
      </c>
      <c r="AY17" s="74" t="s">
        <v>125</v>
      </c>
      <c r="AZ17" s="78" t="s">
        <v>599</v>
      </c>
      <c r="BC17" s="162" t="s">
        <v>340</v>
      </c>
      <c r="BD17" s="6">
        <f>IF(M40 &lt;&gt; "", VLOOKUP(CONCATENATE("P", M40), pointsSystem2, 2, FALSE), 0)</f>
        <v>0</v>
      </c>
      <c r="BE17" s="47">
        <f>IF(N40 &lt;&gt; "", VLOOKUP(CONCATENATE("P", N40), pointsSystem2, 3, FALSE), 0)</f>
        <v>0</v>
      </c>
      <c r="BF17" s="6">
        <f>IF(O40 &lt;&gt; "", VLOOKUP(CONCATENATE("P", O40), pointsSystem2, 2, FALSE), 0)</f>
        <v>0</v>
      </c>
      <c r="BG17" s="47">
        <f>IF(P40 &lt;&gt; "", VLOOKUP(CONCATENATE("P", P40), pointsSystem2, 3, FALSE), 0)</f>
        <v>0</v>
      </c>
      <c r="BH17" s="6">
        <f>IF(Q40 &lt;&gt; "", VLOOKUP(CONCATENATE("P", Q40), pointsSystem2, 2, FALSE), 0)</f>
        <v>0</v>
      </c>
      <c r="BI17" s="47">
        <f>IF(R40 &lt;&gt; "", VLOOKUP(CONCATENATE("P", R40), pointsSystem2, 3, FALSE), 0)</f>
        <v>0</v>
      </c>
      <c r="BJ17" s="6">
        <f>IF(S40 &lt;&gt; "", VLOOKUP(CONCATENATE("P", S40), pointsSystem2, 2, FALSE), 0)</f>
        <v>0</v>
      </c>
      <c r="BK17" s="47">
        <f>IF(T40 &lt;&gt; "", VLOOKUP(CONCATENATE("P", T40), pointsSystem2, 3, FALSE), 0)</f>
        <v>0</v>
      </c>
      <c r="BL17" s="6">
        <f>IF(U40 &lt;&gt; "", VLOOKUP(CONCATENATE("P", U40), pointsSystem2, 2, FALSE), 0)</f>
        <v>0</v>
      </c>
      <c r="BM17" s="47">
        <f>IF(V40 &lt;&gt; "", VLOOKUP(CONCATENATE("P", V40), pointsSystem2, 3, FALSE), 0)</f>
        <v>0</v>
      </c>
      <c r="BN17" s="6">
        <f>IF(W40 &lt;&gt; "", VLOOKUP(CONCATENATE("P", W40), pointsSystem2, 2, FALSE), 0)</f>
        <v>0</v>
      </c>
      <c r="BO17" s="47">
        <f>IF(X40 &lt;&gt; "", VLOOKUP(CONCATENATE("P", X40), pointsSystem2, 3, FALSE), 0)</f>
        <v>0</v>
      </c>
      <c r="BP17" s="6">
        <f>IF(Y40 &lt;&gt; "", VLOOKUP(CONCATENATE("P", Y40), pointsSystem2, 2, FALSE), 0)</f>
        <v>0</v>
      </c>
      <c r="BQ17" s="47">
        <f>IF(Z40 &lt;&gt; "", VLOOKUP(CONCATENATE("P", Z40), pointsSystem2, 3, FALSE), 0)</f>
        <v>0</v>
      </c>
      <c r="BR17" s="6">
        <f>IF(AA40 &lt;&gt; "", VLOOKUP(CONCATENATE("P", AA40), pointsSystem2, 2, FALSE), 0)</f>
        <v>0</v>
      </c>
      <c r="BS17" s="47">
        <f>IF(AB40 &lt;&gt; "", VLOOKUP(CONCATENATE("P", AB40), pointsSystem2, 3, FALSE), 0)</f>
        <v>0</v>
      </c>
      <c r="BT17" s="6">
        <f>IF(AC40 &lt;&gt; "", VLOOKUP(CONCATENATE("P", AC40), pointsSystem2, 2, FALSE), 0)</f>
        <v>0</v>
      </c>
      <c r="BU17" s="47">
        <f>IF(AD40 &lt;&gt; "", VLOOKUP(CONCATENATE("P", AD40), pointsSystem2, 3, FALSE), 0)</f>
        <v>0</v>
      </c>
      <c r="BV17" s="6">
        <f>IF(AE40 &lt;&gt; "", VLOOKUP(CONCATENATE("P", AE40), pointsSystem2, 2, FALSE), 0)</f>
        <v>0</v>
      </c>
      <c r="BW17" s="47">
        <f>IF(AF40 &lt;&gt; "", VLOOKUP(CONCATENATE("P", AF40), pointsSystem2, 3, FALSE), 0)</f>
        <v>0</v>
      </c>
      <c r="BX17" s="6">
        <f>IF(AG40 &lt;&gt; "", VLOOKUP(CONCATENATE("P", AG40), pointsSystem2, 2, FALSE), 0)</f>
        <v>0</v>
      </c>
      <c r="BY17" s="47">
        <f>IF(AH40 &lt;&gt; "", VLOOKUP(CONCATENATE("P", AH40), pointsSystem2, 3, FALSE), 0)</f>
        <v>0</v>
      </c>
      <c r="BZ17" s="6">
        <f>IF(AI40 &lt;&gt; "", VLOOKUP(CONCATENATE("P", AI40), pointsSystem2, 2, FALSE), 0)</f>
        <v>0</v>
      </c>
      <c r="CA17" s="47">
        <f>IF(AJ40 &lt;&gt; "", VLOOKUP(CONCATENATE("P", AJ40), pointsSystem2, 3, FALSE), 0)</f>
        <v>0</v>
      </c>
      <c r="CB17" s="6">
        <f>IF(AK40 &lt;&gt; "", VLOOKUP(CONCATENATE("P", AK40), pointsSystem2, 2, FALSE), 0)</f>
        <v>0</v>
      </c>
      <c r="CC17" s="47">
        <f>IF(AL40 &lt;&gt; "", VLOOKUP(CONCATENATE("P", AL40), pointsSystem2, 3, FALSE), 0)</f>
        <v>0</v>
      </c>
      <c r="CD17" s="6">
        <f>IF(AM40 &lt;&gt; "", VLOOKUP(CONCATENATE("P", AM40), pointsSystem2, 2, FALSE), 0)</f>
        <v>0</v>
      </c>
      <c r="CE17" s="47">
        <f>IF(AN40 &lt;&gt; "", VLOOKUP(CONCATENATE("P", AN40), pointsSystem2, 3, FALSE), 0)</f>
        <v>0</v>
      </c>
      <c r="CF17" s="6">
        <f>AO40 * 3</f>
        <v>0</v>
      </c>
      <c r="CG17" s="47">
        <f>AP40 * 1</f>
        <v>0</v>
      </c>
      <c r="DQ17" s="236" t="s">
        <v>8</v>
      </c>
      <c r="DR17" s="6">
        <f>MAX(BD10:BD13, BD30:BD33)</f>
        <v>0</v>
      </c>
      <c r="DS17" s="47">
        <f t="shared" ref="DS17:ES17" si="15">MAX(BE10:BE13, BE30:BE33)</f>
        <v>0</v>
      </c>
      <c r="DT17" s="6">
        <f t="shared" si="15"/>
        <v>0</v>
      </c>
      <c r="DU17" s="47">
        <f t="shared" si="15"/>
        <v>0</v>
      </c>
      <c r="DV17" s="6">
        <f t="shared" si="15"/>
        <v>0</v>
      </c>
      <c r="DW17" s="47">
        <f t="shared" si="15"/>
        <v>0</v>
      </c>
      <c r="DX17" s="6">
        <f t="shared" si="15"/>
        <v>0</v>
      </c>
      <c r="DY17" s="47">
        <f t="shared" si="15"/>
        <v>0</v>
      </c>
      <c r="DZ17" s="6">
        <f t="shared" si="15"/>
        <v>0</v>
      </c>
      <c r="EA17" s="47">
        <f t="shared" si="15"/>
        <v>0</v>
      </c>
      <c r="EB17" s="6">
        <f t="shared" si="15"/>
        <v>0</v>
      </c>
      <c r="EC17" s="47">
        <f t="shared" si="15"/>
        <v>0</v>
      </c>
      <c r="ED17" s="6">
        <f t="shared" si="15"/>
        <v>0</v>
      </c>
      <c r="EE17" s="47">
        <f t="shared" si="15"/>
        <v>0</v>
      </c>
      <c r="EF17" s="6">
        <f t="shared" si="15"/>
        <v>0</v>
      </c>
      <c r="EG17" s="47">
        <f t="shared" si="15"/>
        <v>0</v>
      </c>
      <c r="EH17" s="6">
        <f t="shared" si="15"/>
        <v>0</v>
      </c>
      <c r="EI17" s="47">
        <f t="shared" si="15"/>
        <v>0</v>
      </c>
      <c r="EJ17" s="6">
        <f t="shared" si="15"/>
        <v>0</v>
      </c>
      <c r="EK17" s="47">
        <f t="shared" si="15"/>
        <v>0</v>
      </c>
      <c r="EL17" s="6">
        <f t="shared" si="15"/>
        <v>0</v>
      </c>
      <c r="EM17" s="47">
        <f t="shared" si="15"/>
        <v>0</v>
      </c>
      <c r="EN17" s="6">
        <f t="shared" si="15"/>
        <v>0</v>
      </c>
      <c r="EO17" s="47">
        <f t="shared" si="15"/>
        <v>0</v>
      </c>
      <c r="EP17" s="6">
        <f t="shared" si="15"/>
        <v>0</v>
      </c>
      <c r="EQ17" s="47">
        <f t="shared" si="15"/>
        <v>0</v>
      </c>
      <c r="ER17" s="6">
        <f t="shared" si="15"/>
        <v>0</v>
      </c>
      <c r="ES17" s="47">
        <f t="shared" si="15"/>
        <v>0</v>
      </c>
      <c r="ET17" s="247">
        <f>SUM(CF10:CF13, CF30:CF33)</f>
        <v>0</v>
      </c>
      <c r="EU17" s="253">
        <f>SUM(CG10:CG13, CG30:CG33)</f>
        <v>0</v>
      </c>
      <c r="EX17" s="236" t="s">
        <v>8</v>
      </c>
      <c r="EY17" s="192">
        <f>SUM(DR17:EU18)</f>
        <v>0</v>
      </c>
    </row>
    <row r="18" spans="2:155" ht="16.8" customHeight="1" thickBot="1" x14ac:dyDescent="0.35">
      <c r="B18" s="8" t="s">
        <v>47</v>
      </c>
      <c r="C18" s="43" t="s">
        <v>290</v>
      </c>
      <c r="D18" s="43" t="s">
        <v>69</v>
      </c>
      <c r="E18" s="43" t="s">
        <v>437</v>
      </c>
      <c r="F18" s="70" t="s">
        <v>34</v>
      </c>
      <c r="G18" s="76" t="s">
        <v>10</v>
      </c>
      <c r="H18" s="72" t="s">
        <v>12</v>
      </c>
      <c r="I18" s="11">
        <f>SUM(BD22:CG22)</f>
        <v>0</v>
      </c>
      <c r="L18" s="43" t="s">
        <v>69</v>
      </c>
      <c r="M18" s="5"/>
      <c r="N18" s="16"/>
      <c r="O18" s="5"/>
      <c r="P18" s="16"/>
      <c r="Q18" s="5"/>
      <c r="R18" s="16"/>
      <c r="S18" s="5"/>
      <c r="T18" s="16"/>
      <c r="U18" s="5"/>
      <c r="V18" s="16"/>
      <c r="W18" s="5"/>
      <c r="X18" s="16"/>
      <c r="Y18" s="5"/>
      <c r="Z18" s="16"/>
      <c r="AA18" s="5"/>
      <c r="AB18" s="16"/>
      <c r="AC18" s="5"/>
      <c r="AD18" s="16"/>
      <c r="AE18" s="5"/>
      <c r="AF18" s="16"/>
      <c r="AG18" s="5"/>
      <c r="AH18" s="16"/>
      <c r="AI18" s="5"/>
      <c r="AJ18" s="16"/>
      <c r="AK18" s="5"/>
      <c r="AL18" s="16"/>
      <c r="AM18" s="5"/>
      <c r="AN18" s="16"/>
      <c r="AO18" s="5"/>
      <c r="AP18" s="16"/>
      <c r="AX18" s="72" t="s">
        <v>598</v>
      </c>
      <c r="AY18" s="76" t="s">
        <v>596</v>
      </c>
      <c r="AZ18" s="67" t="s">
        <v>596</v>
      </c>
      <c r="BC18" s="139" t="s">
        <v>674</v>
      </c>
      <c r="BD18" s="6">
        <f>IF(M15 &lt;&gt; "", VLOOKUP(CONCATENATE("P", M15), pointsSystem2, 2, FALSE), 0)</f>
        <v>0</v>
      </c>
      <c r="BE18" s="47">
        <f>IF(N15 &lt;&gt; "", VLOOKUP(CONCATENATE("P", N15), pointsSystem2, 3, FALSE), 0)</f>
        <v>0</v>
      </c>
      <c r="BF18" s="6">
        <f>IF(O15 &lt;&gt; "", VLOOKUP(CONCATENATE("P", O15), pointsSystem2, 2, FALSE), 0)</f>
        <v>0</v>
      </c>
      <c r="BG18" s="47">
        <f>IF(P15 &lt;&gt; "", VLOOKUP(CONCATENATE("P", P15), pointsSystem2, 3, FALSE), 0)</f>
        <v>0</v>
      </c>
      <c r="BH18" s="6">
        <f>IF(Q15 &lt;&gt; "", VLOOKUP(CONCATENATE("P", Q15), pointsSystem2, 2, FALSE), 0)</f>
        <v>0</v>
      </c>
      <c r="BI18" s="47">
        <f>IF(R15 &lt;&gt; "", VLOOKUP(CONCATENATE("P", R15), pointsSystem2, 3, FALSE), 0)</f>
        <v>0</v>
      </c>
      <c r="BJ18" s="6">
        <f>IF(S15 &lt;&gt; "", VLOOKUP(CONCATENATE("P", S15), pointsSystem2, 2, FALSE), 0)</f>
        <v>0</v>
      </c>
      <c r="BK18" s="47">
        <f>IF(T15 &lt;&gt; "", VLOOKUP(CONCATENATE("P", T15), pointsSystem2, 3, FALSE), 0)</f>
        <v>0</v>
      </c>
      <c r="BL18" s="6">
        <f>IF(U15 &lt;&gt; "", VLOOKUP(CONCATENATE("P", U15), pointsSystem2, 2, FALSE), 0)</f>
        <v>0</v>
      </c>
      <c r="BM18" s="47">
        <f>IF(V15 &lt;&gt; "", VLOOKUP(CONCATENATE("P", V15), pointsSystem2, 3, FALSE), 0)</f>
        <v>0</v>
      </c>
      <c r="BN18" s="6">
        <f>IF(W15 &lt;&gt; "", VLOOKUP(CONCATENATE("P", W15), pointsSystem2, 2, FALSE), 0)</f>
        <v>0</v>
      </c>
      <c r="BO18" s="47">
        <f>IF(X15 &lt;&gt; "", VLOOKUP(CONCATENATE("P", X15), pointsSystem2, 3, FALSE), 0)</f>
        <v>0</v>
      </c>
      <c r="BP18" s="6">
        <f>IF(Y15 &lt;&gt; "", VLOOKUP(CONCATENATE("P", Y15), pointsSystem2, 2, FALSE), 0)</f>
        <v>0</v>
      </c>
      <c r="BQ18" s="47">
        <f>IF(Z15 &lt;&gt; "", VLOOKUP(CONCATENATE("P", Z15), pointsSystem2, 3, FALSE), 0)</f>
        <v>0</v>
      </c>
      <c r="BR18" s="6">
        <f>IF(AA15 &lt;&gt; "", VLOOKUP(CONCATENATE("P", AA15), pointsSystem2, 2, FALSE), 0)</f>
        <v>0</v>
      </c>
      <c r="BS18" s="47">
        <f>IF(AB15 &lt;&gt; "", VLOOKUP(CONCATENATE("P", AB15), pointsSystem2, 3, FALSE), 0)</f>
        <v>0</v>
      </c>
      <c r="BT18" s="6">
        <f>IF(AC15 &lt;&gt; "", VLOOKUP(CONCATENATE("P", AC15), pointsSystem2, 2, FALSE), 0)</f>
        <v>0</v>
      </c>
      <c r="BU18" s="47">
        <f>IF(AD15 &lt;&gt; "", VLOOKUP(CONCATENATE("P", AD15), pointsSystem2, 3, FALSE), 0)</f>
        <v>0</v>
      </c>
      <c r="BV18" s="6">
        <f>IF(AE15 &lt;&gt; "", VLOOKUP(CONCATENATE("P", AE15), pointsSystem2, 2, FALSE), 0)</f>
        <v>0</v>
      </c>
      <c r="BW18" s="47">
        <f>IF(AF15 &lt;&gt; "", VLOOKUP(CONCATENATE("P", AF15), pointsSystem2, 3, FALSE), 0)</f>
        <v>0</v>
      </c>
      <c r="BX18" s="6">
        <f>IF(AG15 &lt;&gt; "", VLOOKUP(CONCATENATE("P", AG15), pointsSystem2, 2, FALSE), 0)</f>
        <v>0</v>
      </c>
      <c r="BY18" s="47">
        <f>IF(AH15 &lt;&gt; "", VLOOKUP(CONCATENATE("P", AH15), pointsSystem2, 3, FALSE), 0)</f>
        <v>0</v>
      </c>
      <c r="BZ18" s="6">
        <f>IF(AI15 &lt;&gt; "", VLOOKUP(CONCATENATE("P", AI15), pointsSystem2, 2, FALSE), 0)</f>
        <v>0</v>
      </c>
      <c r="CA18" s="47">
        <f>IF(AJ15 &lt;&gt; "", VLOOKUP(CONCATENATE("P", AJ15), pointsSystem2, 3, FALSE), 0)</f>
        <v>0</v>
      </c>
      <c r="CB18" s="6">
        <f>IF(AK15 &lt;&gt; "", VLOOKUP(CONCATENATE("P", AK15), pointsSystem2, 2, FALSE), 0)</f>
        <v>0</v>
      </c>
      <c r="CC18" s="47">
        <f>IF(AL15 &lt;&gt; "", VLOOKUP(CONCATENATE("P", AL15), pointsSystem2, 3, FALSE), 0)</f>
        <v>0</v>
      </c>
      <c r="CD18" s="6">
        <f>IF(AM15 &lt;&gt; "", VLOOKUP(CONCATENATE("P", AM15), pointsSystem2, 2, FALSE), 0)</f>
        <v>0</v>
      </c>
      <c r="CE18" s="47">
        <f>IF(AN15 &lt;&gt; "", VLOOKUP(CONCATENATE("P", AN15), pointsSystem2, 3, FALSE), 0)</f>
        <v>0</v>
      </c>
      <c r="CF18" s="6">
        <f>AO15 * 3</f>
        <v>0</v>
      </c>
      <c r="CG18" s="47">
        <f>AP15 * 1</f>
        <v>0</v>
      </c>
      <c r="DQ18" s="236"/>
      <c r="DR18" s="6">
        <f>LARGE((BD10:BD13, BD30:BD33), 2)</f>
        <v>0</v>
      </c>
      <c r="DS18" s="47">
        <f>LARGE((BE10:BE13, BE30:BE33), 2)</f>
        <v>0</v>
      </c>
      <c r="DT18" s="6">
        <f>LARGE((BF10:BF13, BF30:BF33), 2)</f>
        <v>0</v>
      </c>
      <c r="DU18" s="47">
        <f>LARGE((BG10:BG13, BG30:BG33), 2)</f>
        <v>0</v>
      </c>
      <c r="DV18" s="6">
        <f>LARGE((BH10:BH13, BH30:BH33), 2)</f>
        <v>0</v>
      </c>
      <c r="DW18" s="47">
        <f>LARGE((BI10:BI13, BI30:BI33), 2)</f>
        <v>0</v>
      </c>
      <c r="DX18" s="6">
        <f>LARGE((BJ10:BJ13, BJ30:BJ33), 2)</f>
        <v>0</v>
      </c>
      <c r="DY18" s="47">
        <f>LARGE((BK10:BK13, BK30:BK33), 2)</f>
        <v>0</v>
      </c>
      <c r="DZ18" s="6">
        <f>LARGE((BL10:BL13, BL30:BL33), 2)</f>
        <v>0</v>
      </c>
      <c r="EA18" s="47">
        <f>LARGE((BM10:BM13, BM30:BM33), 2)</f>
        <v>0</v>
      </c>
      <c r="EB18" s="6">
        <f>LARGE((BN10:BN13, BN30:BN33), 2)</f>
        <v>0</v>
      </c>
      <c r="EC18" s="47">
        <f>LARGE((BO10:BO13, BO30:BO33), 2)</f>
        <v>0</v>
      </c>
      <c r="ED18" s="6">
        <f>LARGE((BP10:BP13, BP30:BP33), 2)</f>
        <v>0</v>
      </c>
      <c r="EE18" s="47">
        <f>LARGE((BQ10:BQ13, BQ30:BQ33), 2)</f>
        <v>0</v>
      </c>
      <c r="EF18" s="6">
        <f>LARGE((BR10:BR13, BR30:BR33), 2)</f>
        <v>0</v>
      </c>
      <c r="EG18" s="47">
        <f>LARGE((BS10:BS13, BS30:BS33), 2)</f>
        <v>0</v>
      </c>
      <c r="EH18" s="6">
        <f>LARGE((BT10:BT13, BT30:BT33), 2)</f>
        <v>0</v>
      </c>
      <c r="EI18" s="47">
        <f>LARGE((BU10:BU13, BU30:BU33), 2)</f>
        <v>0</v>
      </c>
      <c r="EJ18" s="6">
        <f>LARGE((BV10:BV13, BV30:BV33), 2)</f>
        <v>0</v>
      </c>
      <c r="EK18" s="47">
        <f>LARGE((BW10:BW13, BW30:BW33), 2)</f>
        <v>0</v>
      </c>
      <c r="EL18" s="6">
        <f>LARGE((BX10:BX13, BX30:BX33), 2)</f>
        <v>0</v>
      </c>
      <c r="EM18" s="47">
        <f>LARGE((BY10:BY13, BY30:BY33), 2)</f>
        <v>0</v>
      </c>
      <c r="EN18" s="6">
        <f>LARGE((BZ10:BZ13, BZ30:BZ33), 2)</f>
        <v>0</v>
      </c>
      <c r="EO18" s="47">
        <f>LARGE((CA10:CA13, CA30:CA33), 2)</f>
        <v>0</v>
      </c>
      <c r="EP18" s="6">
        <f>LARGE((CB10:CB13, CB30:CB33), 2)</f>
        <v>0</v>
      </c>
      <c r="EQ18" s="47">
        <f>LARGE((CC10:CC13, CC30:CC33), 2)</f>
        <v>0</v>
      </c>
      <c r="ER18" s="6">
        <f>LARGE((CD10:CD13, CD30:CD33), 2)</f>
        <v>0</v>
      </c>
      <c r="ES18" s="47">
        <f>LARGE((CE10:CE13, CE30:CE33), 2)</f>
        <v>0</v>
      </c>
      <c r="ET18" s="248"/>
      <c r="EU18" s="254"/>
      <c r="EX18" s="236"/>
      <c r="EY18" s="192"/>
    </row>
    <row r="19" spans="2:155" ht="16.8" customHeight="1" thickBot="1" x14ac:dyDescent="0.35">
      <c r="B19" s="8" t="s">
        <v>48</v>
      </c>
      <c r="C19" s="43" t="s">
        <v>228</v>
      </c>
      <c r="D19" s="43" t="s">
        <v>70</v>
      </c>
      <c r="E19" s="43" t="s">
        <v>437</v>
      </c>
      <c r="F19" s="70" t="s">
        <v>34</v>
      </c>
      <c r="G19" s="76" t="s">
        <v>10</v>
      </c>
      <c r="H19" s="72" t="s">
        <v>12</v>
      </c>
      <c r="I19" s="11">
        <f>SUM(BD23:CG23)</f>
        <v>0</v>
      </c>
      <c r="L19" s="43" t="s">
        <v>70</v>
      </c>
      <c r="M19" s="5"/>
      <c r="N19" s="16"/>
      <c r="O19" s="5"/>
      <c r="P19" s="16"/>
      <c r="Q19" s="5"/>
      <c r="R19" s="16"/>
      <c r="S19" s="5"/>
      <c r="T19" s="16"/>
      <c r="U19" s="5"/>
      <c r="V19" s="16"/>
      <c r="W19" s="5"/>
      <c r="X19" s="16"/>
      <c r="Y19" s="5"/>
      <c r="Z19" s="16"/>
      <c r="AA19" s="5"/>
      <c r="AB19" s="16"/>
      <c r="AC19" s="5"/>
      <c r="AD19" s="16"/>
      <c r="AE19" s="5"/>
      <c r="AF19" s="16"/>
      <c r="AG19" s="5"/>
      <c r="AH19" s="16"/>
      <c r="AI19" s="5"/>
      <c r="AJ19" s="16"/>
      <c r="AK19" s="5"/>
      <c r="AL19" s="16"/>
      <c r="AM19" s="5"/>
      <c r="AN19" s="16"/>
      <c r="AO19" s="5"/>
      <c r="AP19" s="16"/>
      <c r="AX19" s="72" t="s">
        <v>598</v>
      </c>
      <c r="AY19" s="76" t="s">
        <v>596</v>
      </c>
      <c r="AZ19" s="67" t="s">
        <v>596</v>
      </c>
      <c r="BC19" s="139" t="s">
        <v>675</v>
      </c>
      <c r="BD19" s="6">
        <f>IF(M16 &lt;&gt; "", VLOOKUP(CONCATENATE("P", M16), pointsSystem2, 2, FALSE), 0)</f>
        <v>0</v>
      </c>
      <c r="BE19" s="47">
        <f>IF(N16 &lt;&gt; "", VLOOKUP(CONCATENATE("P", N16), pointsSystem2, 3, FALSE), 0)</f>
        <v>0</v>
      </c>
      <c r="BF19" s="6">
        <f>IF(O16 &lt;&gt; "", VLOOKUP(CONCATENATE("P", O16), pointsSystem2, 2, FALSE), 0)</f>
        <v>0</v>
      </c>
      <c r="BG19" s="47">
        <f>IF(P16 &lt;&gt; "", VLOOKUP(CONCATENATE("P", P16), pointsSystem2, 3, FALSE), 0)</f>
        <v>0</v>
      </c>
      <c r="BH19" s="6">
        <f>IF(Q16 &lt;&gt; "", VLOOKUP(CONCATENATE("P", Q16), pointsSystem2, 2, FALSE), 0)</f>
        <v>0</v>
      </c>
      <c r="BI19" s="47">
        <f>IF(R16 &lt;&gt; "", VLOOKUP(CONCATENATE("P", R16), pointsSystem2, 3, FALSE), 0)</f>
        <v>0</v>
      </c>
      <c r="BJ19" s="6">
        <f>IF(S16 &lt;&gt; "", VLOOKUP(CONCATENATE("P", S16), pointsSystem2, 2, FALSE), 0)</f>
        <v>0</v>
      </c>
      <c r="BK19" s="47">
        <f>IF(T16 &lt;&gt; "", VLOOKUP(CONCATENATE("P", T16), pointsSystem2, 3, FALSE), 0)</f>
        <v>0</v>
      </c>
      <c r="BL19" s="6">
        <f>IF(U16 &lt;&gt; "", VLOOKUP(CONCATENATE("P", U16), pointsSystem2, 2, FALSE), 0)</f>
        <v>0</v>
      </c>
      <c r="BM19" s="47">
        <f>IF(V16 &lt;&gt; "", VLOOKUP(CONCATENATE("P", V16), pointsSystem2, 3, FALSE), 0)</f>
        <v>0</v>
      </c>
      <c r="BN19" s="6">
        <f>IF(W16 &lt;&gt; "", VLOOKUP(CONCATENATE("P", W16), pointsSystem2, 2, FALSE), 0)</f>
        <v>0</v>
      </c>
      <c r="BO19" s="47">
        <f>IF(X16 &lt;&gt; "", VLOOKUP(CONCATENATE("P", X16), pointsSystem2, 3, FALSE), 0)</f>
        <v>0</v>
      </c>
      <c r="BP19" s="6">
        <f>IF(Y16 &lt;&gt; "", VLOOKUP(CONCATENATE("P", Y16), pointsSystem2, 2, FALSE), 0)</f>
        <v>0</v>
      </c>
      <c r="BQ19" s="47">
        <f>IF(Z16 &lt;&gt; "", VLOOKUP(CONCATENATE("P", Z16), pointsSystem2, 3, FALSE), 0)</f>
        <v>0</v>
      </c>
      <c r="BR19" s="6">
        <f>IF(AA16 &lt;&gt; "", VLOOKUP(CONCATENATE("P", AA16), pointsSystem2, 2, FALSE), 0)</f>
        <v>0</v>
      </c>
      <c r="BS19" s="47">
        <f>IF(AB16 &lt;&gt; "", VLOOKUP(CONCATENATE("P", AB16), pointsSystem2, 3, FALSE), 0)</f>
        <v>0</v>
      </c>
      <c r="BT19" s="6">
        <f>IF(AC16 &lt;&gt; "", VLOOKUP(CONCATENATE("P", AC16), pointsSystem2, 2, FALSE), 0)</f>
        <v>0</v>
      </c>
      <c r="BU19" s="47">
        <f>IF(AD16 &lt;&gt; "", VLOOKUP(CONCATENATE("P", AD16), pointsSystem2, 3, FALSE), 0)</f>
        <v>0</v>
      </c>
      <c r="BV19" s="6">
        <f>IF(AE16 &lt;&gt; "", VLOOKUP(CONCATENATE("P", AE16), pointsSystem2, 2, FALSE), 0)</f>
        <v>0</v>
      </c>
      <c r="BW19" s="47">
        <f>IF(AF16 &lt;&gt; "", VLOOKUP(CONCATENATE("P", AF16), pointsSystem2, 3, FALSE), 0)</f>
        <v>0</v>
      </c>
      <c r="BX19" s="6">
        <f>IF(AG16 &lt;&gt; "", VLOOKUP(CONCATENATE("P", AG16), pointsSystem2, 2, FALSE), 0)</f>
        <v>0</v>
      </c>
      <c r="BY19" s="47">
        <f>IF(AH16 &lt;&gt; "", VLOOKUP(CONCATENATE("P", AH16), pointsSystem2, 3, FALSE), 0)</f>
        <v>0</v>
      </c>
      <c r="BZ19" s="6">
        <f>IF(AI16 &lt;&gt; "", VLOOKUP(CONCATENATE("P", AI16), pointsSystem2, 2, FALSE), 0)</f>
        <v>0</v>
      </c>
      <c r="CA19" s="47">
        <f>IF(AJ16 &lt;&gt; "", VLOOKUP(CONCATENATE("P", AJ16), pointsSystem2, 3, FALSE), 0)</f>
        <v>0</v>
      </c>
      <c r="CB19" s="6">
        <f>IF(AK16 &lt;&gt; "", VLOOKUP(CONCATENATE("P", AK16), pointsSystem2, 2, FALSE), 0)</f>
        <v>0</v>
      </c>
      <c r="CC19" s="47">
        <f>IF(AL16 &lt;&gt; "", VLOOKUP(CONCATENATE("P", AL16), pointsSystem2, 3, FALSE), 0)</f>
        <v>0</v>
      </c>
      <c r="CD19" s="6">
        <f>IF(AM16 &lt;&gt; "", VLOOKUP(CONCATENATE("P", AM16), pointsSystem2, 2, FALSE), 0)</f>
        <v>0</v>
      </c>
      <c r="CE19" s="47">
        <f>IF(AN16 &lt;&gt; "", VLOOKUP(CONCATENATE("P", AN16), pointsSystem2, 3, FALSE), 0)</f>
        <v>0</v>
      </c>
      <c r="CF19" s="6">
        <f>AO16 * 3</f>
        <v>0</v>
      </c>
      <c r="CG19" s="47">
        <f>AP16 * 1</f>
        <v>0</v>
      </c>
      <c r="DQ19" s="234" t="s">
        <v>7</v>
      </c>
      <c r="DR19" s="6">
        <f>MAX(BD34:BD37, BD42:BD45)</f>
        <v>0</v>
      </c>
      <c r="DS19" s="47">
        <f t="shared" ref="DS19:ES19" si="16">MAX(BE34:BE37, BE42:BE45)</f>
        <v>0</v>
      </c>
      <c r="DT19" s="6">
        <f t="shared" si="16"/>
        <v>0</v>
      </c>
      <c r="DU19" s="47">
        <f t="shared" si="16"/>
        <v>0</v>
      </c>
      <c r="DV19" s="6">
        <f t="shared" si="16"/>
        <v>0</v>
      </c>
      <c r="DW19" s="47">
        <f t="shared" si="16"/>
        <v>0</v>
      </c>
      <c r="DX19" s="6">
        <f t="shared" si="16"/>
        <v>0</v>
      </c>
      <c r="DY19" s="47">
        <f t="shared" si="16"/>
        <v>0</v>
      </c>
      <c r="DZ19" s="6">
        <f t="shared" si="16"/>
        <v>0</v>
      </c>
      <c r="EA19" s="47">
        <f t="shared" si="16"/>
        <v>0</v>
      </c>
      <c r="EB19" s="6">
        <f t="shared" si="16"/>
        <v>0</v>
      </c>
      <c r="EC19" s="47">
        <f t="shared" si="16"/>
        <v>0</v>
      </c>
      <c r="ED19" s="6">
        <f t="shared" si="16"/>
        <v>0</v>
      </c>
      <c r="EE19" s="47">
        <f t="shared" si="16"/>
        <v>0</v>
      </c>
      <c r="EF19" s="6">
        <f t="shared" si="16"/>
        <v>0</v>
      </c>
      <c r="EG19" s="47">
        <f t="shared" si="16"/>
        <v>0</v>
      </c>
      <c r="EH19" s="6">
        <f t="shared" si="16"/>
        <v>0</v>
      </c>
      <c r="EI19" s="47">
        <f t="shared" si="16"/>
        <v>0</v>
      </c>
      <c r="EJ19" s="6">
        <f t="shared" si="16"/>
        <v>0</v>
      </c>
      <c r="EK19" s="47">
        <f t="shared" si="16"/>
        <v>0</v>
      </c>
      <c r="EL19" s="6">
        <f t="shared" si="16"/>
        <v>0</v>
      </c>
      <c r="EM19" s="47">
        <f t="shared" si="16"/>
        <v>0</v>
      </c>
      <c r="EN19" s="6">
        <f t="shared" si="16"/>
        <v>0</v>
      </c>
      <c r="EO19" s="47">
        <f t="shared" si="16"/>
        <v>0</v>
      </c>
      <c r="EP19" s="6">
        <f t="shared" si="16"/>
        <v>0</v>
      </c>
      <c r="EQ19" s="47">
        <f t="shared" si="16"/>
        <v>0</v>
      </c>
      <c r="ER19" s="6">
        <f t="shared" si="16"/>
        <v>0</v>
      </c>
      <c r="ES19" s="47">
        <f t="shared" si="16"/>
        <v>0</v>
      </c>
      <c r="ET19" s="249">
        <f>SUM(CF34:CF37, CF42:CF45)</f>
        <v>0</v>
      </c>
      <c r="EU19" s="251">
        <f>SUM(CG34:CG37, CG42:CG45)</f>
        <v>0</v>
      </c>
      <c r="EX19" s="234" t="s">
        <v>7</v>
      </c>
      <c r="EY19" s="192">
        <f>SUM(DR19:EU20)</f>
        <v>0</v>
      </c>
    </row>
    <row r="20" spans="2:155" ht="16.8" customHeight="1" thickBot="1" x14ac:dyDescent="0.35">
      <c r="B20" s="8" t="s">
        <v>49</v>
      </c>
      <c r="C20" s="43" t="s">
        <v>235</v>
      </c>
      <c r="D20" s="43" t="s">
        <v>68</v>
      </c>
      <c r="E20" s="43" t="s">
        <v>437</v>
      </c>
      <c r="F20" s="70" t="s">
        <v>34</v>
      </c>
      <c r="G20" s="76" t="s">
        <v>10</v>
      </c>
      <c r="H20" s="72" t="s">
        <v>12</v>
      </c>
      <c r="I20" s="11">
        <f>SUM(BD24:CG24)</f>
        <v>0</v>
      </c>
      <c r="L20" s="43" t="s">
        <v>68</v>
      </c>
      <c r="M20" s="5"/>
      <c r="N20" s="16"/>
      <c r="O20" s="5"/>
      <c r="P20" s="16"/>
      <c r="Q20" s="5"/>
      <c r="R20" s="16"/>
      <c r="S20" s="5"/>
      <c r="T20" s="16"/>
      <c r="U20" s="5"/>
      <c r="V20" s="16"/>
      <c r="W20" s="5"/>
      <c r="X20" s="16"/>
      <c r="Y20" s="5"/>
      <c r="Z20" s="16"/>
      <c r="AA20" s="5"/>
      <c r="AB20" s="16"/>
      <c r="AC20" s="5"/>
      <c r="AD20" s="16"/>
      <c r="AE20" s="5"/>
      <c r="AF20" s="16"/>
      <c r="AG20" s="5"/>
      <c r="AH20" s="16"/>
      <c r="AI20" s="5"/>
      <c r="AJ20" s="16"/>
      <c r="AK20" s="5"/>
      <c r="AL20" s="16"/>
      <c r="AM20" s="5"/>
      <c r="AN20" s="16"/>
      <c r="AO20" s="5"/>
      <c r="AP20" s="16"/>
      <c r="AX20" s="72" t="s">
        <v>598</v>
      </c>
      <c r="AY20" s="76" t="s">
        <v>596</v>
      </c>
      <c r="AZ20" s="67" t="s">
        <v>596</v>
      </c>
      <c r="BC20" s="139" t="s">
        <v>676</v>
      </c>
      <c r="BD20" s="6">
        <f>IF(M17 &lt;&gt; "", VLOOKUP(CONCATENATE("P", M17), pointsSystem2, 2, FALSE), 0)</f>
        <v>0</v>
      </c>
      <c r="BE20" s="47">
        <f>IF(N17 &lt;&gt; "", VLOOKUP(CONCATENATE("P", N17), pointsSystem2, 3, FALSE), 0)</f>
        <v>0</v>
      </c>
      <c r="BF20" s="6">
        <f>IF(O17 &lt;&gt; "", VLOOKUP(CONCATENATE("P", O17), pointsSystem2, 2, FALSE), 0)</f>
        <v>0</v>
      </c>
      <c r="BG20" s="47">
        <f>IF(P17 &lt;&gt; "", VLOOKUP(CONCATENATE("P", P17), pointsSystem2, 3, FALSE), 0)</f>
        <v>0</v>
      </c>
      <c r="BH20" s="6">
        <f>IF(Q17 &lt;&gt; "", VLOOKUP(CONCATENATE("P", Q17), pointsSystem2, 2, FALSE), 0)</f>
        <v>0</v>
      </c>
      <c r="BI20" s="47">
        <f>IF(R17 &lt;&gt; "", VLOOKUP(CONCATENATE("P", R17), pointsSystem2, 3, FALSE), 0)</f>
        <v>0</v>
      </c>
      <c r="BJ20" s="6">
        <f>IF(S17 &lt;&gt; "", VLOOKUP(CONCATENATE("P", S17), pointsSystem2, 2, FALSE), 0)</f>
        <v>0</v>
      </c>
      <c r="BK20" s="47">
        <f>IF(T17 &lt;&gt; "", VLOOKUP(CONCATENATE("P", T17), pointsSystem2, 3, FALSE), 0)</f>
        <v>0</v>
      </c>
      <c r="BL20" s="6">
        <f>IF(U17 &lt;&gt; "", VLOOKUP(CONCATENATE("P", U17), pointsSystem2, 2, FALSE), 0)</f>
        <v>0</v>
      </c>
      <c r="BM20" s="47">
        <f>IF(V17 &lt;&gt; "", VLOOKUP(CONCATENATE("P", V17), pointsSystem2, 3, FALSE), 0)</f>
        <v>0</v>
      </c>
      <c r="BN20" s="6">
        <f>IF(W17 &lt;&gt; "", VLOOKUP(CONCATENATE("P", W17), pointsSystem2, 2, FALSE), 0)</f>
        <v>0</v>
      </c>
      <c r="BO20" s="47">
        <f>IF(X17 &lt;&gt; "", VLOOKUP(CONCATENATE("P", X17), pointsSystem2, 3, FALSE), 0)</f>
        <v>0</v>
      </c>
      <c r="BP20" s="6">
        <f>IF(Y17 &lt;&gt; "", VLOOKUP(CONCATENATE("P", Y17), pointsSystem2, 2, FALSE), 0)</f>
        <v>0</v>
      </c>
      <c r="BQ20" s="47">
        <f>IF(Z17 &lt;&gt; "", VLOOKUP(CONCATENATE("P", Z17), pointsSystem2, 3, FALSE), 0)</f>
        <v>0</v>
      </c>
      <c r="BR20" s="6">
        <f>IF(AA17 &lt;&gt; "", VLOOKUP(CONCATENATE("P", AA17), pointsSystem2, 2, FALSE), 0)</f>
        <v>0</v>
      </c>
      <c r="BS20" s="47">
        <f>IF(AB17 &lt;&gt; "", VLOOKUP(CONCATENATE("P", AB17), pointsSystem2, 3, FALSE), 0)</f>
        <v>0</v>
      </c>
      <c r="BT20" s="6">
        <f>IF(AC17 &lt;&gt; "", VLOOKUP(CONCATENATE("P", AC17), pointsSystem2, 2, FALSE), 0)</f>
        <v>0</v>
      </c>
      <c r="BU20" s="47">
        <f>IF(AD17 &lt;&gt; "", VLOOKUP(CONCATENATE("P", AD17), pointsSystem2, 3, FALSE), 0)</f>
        <v>0</v>
      </c>
      <c r="BV20" s="6">
        <f>IF(AE17 &lt;&gt; "", VLOOKUP(CONCATENATE("P", AE17), pointsSystem2, 2, FALSE), 0)</f>
        <v>0</v>
      </c>
      <c r="BW20" s="47">
        <f>IF(AF17 &lt;&gt; "", VLOOKUP(CONCATENATE("P", AF17), pointsSystem2, 3, FALSE), 0)</f>
        <v>0</v>
      </c>
      <c r="BX20" s="6">
        <f>IF(AG17 &lt;&gt; "", VLOOKUP(CONCATENATE("P", AG17), pointsSystem2, 2, FALSE), 0)</f>
        <v>0</v>
      </c>
      <c r="BY20" s="47">
        <f>IF(AH17 &lt;&gt; "", VLOOKUP(CONCATENATE("P", AH17), pointsSystem2, 3, FALSE), 0)</f>
        <v>0</v>
      </c>
      <c r="BZ20" s="6">
        <f>IF(AI17 &lt;&gt; "", VLOOKUP(CONCATENATE("P", AI17), pointsSystem2, 2, FALSE), 0)</f>
        <v>0</v>
      </c>
      <c r="CA20" s="47">
        <f>IF(AJ17 &lt;&gt; "", VLOOKUP(CONCATENATE("P", AJ17), pointsSystem2, 3, FALSE), 0)</f>
        <v>0</v>
      </c>
      <c r="CB20" s="6">
        <f>IF(AK17 &lt;&gt; "", VLOOKUP(CONCATENATE("P", AK17), pointsSystem2, 2, FALSE), 0)</f>
        <v>0</v>
      </c>
      <c r="CC20" s="47">
        <f>IF(AL17 &lt;&gt; "", VLOOKUP(CONCATENATE("P", AL17), pointsSystem2, 3, FALSE), 0)</f>
        <v>0</v>
      </c>
      <c r="CD20" s="6">
        <f>IF(AM17 &lt;&gt; "", VLOOKUP(CONCATENATE("P", AM17), pointsSystem2, 2, FALSE), 0)</f>
        <v>0</v>
      </c>
      <c r="CE20" s="47">
        <f>IF(AN17 &lt;&gt; "", VLOOKUP(CONCATENATE("P", AN17), pointsSystem2, 3, FALSE), 0)</f>
        <v>0</v>
      </c>
      <c r="CF20" s="6">
        <f>AO17 * 3</f>
        <v>0</v>
      </c>
      <c r="CG20" s="47">
        <f>AP17 * 1</f>
        <v>0</v>
      </c>
      <c r="DQ20" s="234"/>
      <c r="DR20" s="6">
        <f>LARGE((BD34:BD37, BD42:BD45), 2)</f>
        <v>0</v>
      </c>
      <c r="DS20" s="47">
        <f>LARGE((BE34:BE37, BE42:BE45), 2)</f>
        <v>0</v>
      </c>
      <c r="DT20" s="6">
        <f>LARGE((BF34:BF37, BF42:BF45), 2)</f>
        <v>0</v>
      </c>
      <c r="DU20" s="47">
        <f>LARGE((BG34:BG37, BG42:BG45), 2)</f>
        <v>0</v>
      </c>
      <c r="DV20" s="6">
        <f>LARGE((BH34:BH37, BH42:BH45), 2)</f>
        <v>0</v>
      </c>
      <c r="DW20" s="47">
        <f>LARGE((BI34:BI37, BI42:BI45), 2)</f>
        <v>0</v>
      </c>
      <c r="DX20" s="6">
        <f>LARGE((BJ34:BJ37, BJ42:BJ45), 2)</f>
        <v>0</v>
      </c>
      <c r="DY20" s="47">
        <f>LARGE((BK34:BK37, BK42:BK45), 2)</f>
        <v>0</v>
      </c>
      <c r="DZ20" s="6">
        <f>LARGE((BL34:BL37, BL42:BL45), 2)</f>
        <v>0</v>
      </c>
      <c r="EA20" s="47">
        <f>LARGE((BM34:BM37, BM42:BM45), 2)</f>
        <v>0</v>
      </c>
      <c r="EB20" s="6">
        <f>LARGE((BN34:BN37, BN42:BN45), 2)</f>
        <v>0</v>
      </c>
      <c r="EC20" s="47">
        <f>LARGE((BO34:BO37, BO42:BO45), 2)</f>
        <v>0</v>
      </c>
      <c r="ED20" s="6">
        <f>LARGE((BP34:BP37, BP42:BP45), 2)</f>
        <v>0</v>
      </c>
      <c r="EE20" s="47">
        <f>LARGE((BQ34:BQ37, BQ42:BQ45), 2)</f>
        <v>0</v>
      </c>
      <c r="EF20" s="6">
        <f>LARGE((BR34:BR37, BR42:BR45), 2)</f>
        <v>0</v>
      </c>
      <c r="EG20" s="47">
        <f>LARGE((BS34:BS37, BS42:BS45), 2)</f>
        <v>0</v>
      </c>
      <c r="EH20" s="6">
        <f>LARGE((BT34:BT37, BT42:BT45), 2)</f>
        <v>0</v>
      </c>
      <c r="EI20" s="47">
        <f>LARGE((BU34:BU37, BU42:BU45), 2)</f>
        <v>0</v>
      </c>
      <c r="EJ20" s="6">
        <f>LARGE((BV34:BV37, BV42:BV45), 2)</f>
        <v>0</v>
      </c>
      <c r="EK20" s="47">
        <f>LARGE((BW34:BW37, BW42:BW45), 2)</f>
        <v>0</v>
      </c>
      <c r="EL20" s="6">
        <f>LARGE((BX34:BX37, BX42:BX45), 2)</f>
        <v>0</v>
      </c>
      <c r="EM20" s="47">
        <f>LARGE((BY34:BY37, BY42:BY45), 2)</f>
        <v>0</v>
      </c>
      <c r="EN20" s="6">
        <f>LARGE((BZ34:BZ37, BZ42:BZ45), 2)</f>
        <v>0</v>
      </c>
      <c r="EO20" s="47">
        <f>LARGE((CA34:CA37, CA42:CA45), 2)</f>
        <v>0</v>
      </c>
      <c r="EP20" s="6">
        <f>LARGE((CB34:CB37, CB42:CB45), 2)</f>
        <v>0</v>
      </c>
      <c r="EQ20" s="47">
        <f>LARGE((CC34:CC37, CC42:CC45), 2)</f>
        <v>0</v>
      </c>
      <c r="ER20" s="6">
        <f>LARGE((CD34:CD37, CD42:CD45), 2)</f>
        <v>0</v>
      </c>
      <c r="ES20" s="47">
        <f>LARGE((CE34:CE37, CE42:CE45), 2)</f>
        <v>0</v>
      </c>
      <c r="ET20" s="248"/>
      <c r="EU20" s="254"/>
      <c r="EX20" s="234"/>
      <c r="EY20" s="192"/>
    </row>
    <row r="21" spans="2:155" ht="16.8" customHeight="1" thickBot="1" x14ac:dyDescent="0.35">
      <c r="B21" s="8" t="s">
        <v>50</v>
      </c>
      <c r="C21" s="63" t="s">
        <v>245</v>
      </c>
      <c r="D21" s="63" t="s">
        <v>682</v>
      </c>
      <c r="E21" s="63" t="s">
        <v>325</v>
      </c>
      <c r="F21" s="68" t="s">
        <v>5</v>
      </c>
      <c r="G21" s="73" t="s">
        <v>9</v>
      </c>
      <c r="H21" s="77" t="s">
        <v>12</v>
      </c>
      <c r="I21" s="11">
        <f>SUM(BD26:CG26)</f>
        <v>0</v>
      </c>
      <c r="L21" s="63" t="s">
        <v>682</v>
      </c>
      <c r="M21" s="5"/>
      <c r="N21" s="16"/>
      <c r="O21" s="5"/>
      <c r="P21" s="16"/>
      <c r="Q21" s="5"/>
      <c r="R21" s="16"/>
      <c r="S21" s="5"/>
      <c r="T21" s="16"/>
      <c r="U21" s="5"/>
      <c r="V21" s="16"/>
      <c r="W21" s="5"/>
      <c r="X21" s="16"/>
      <c r="Y21" s="5"/>
      <c r="Z21" s="16"/>
      <c r="AA21" s="5"/>
      <c r="AB21" s="16"/>
      <c r="AC21" s="5"/>
      <c r="AD21" s="16"/>
      <c r="AE21" s="5"/>
      <c r="AF21" s="16"/>
      <c r="AG21" s="5"/>
      <c r="AH21" s="16"/>
      <c r="AI21" s="5"/>
      <c r="AJ21" s="16"/>
      <c r="AK21" s="5"/>
      <c r="AL21" s="16"/>
      <c r="AM21" s="5"/>
      <c r="AN21" s="16"/>
      <c r="AO21" s="5"/>
      <c r="AP21" s="16"/>
      <c r="AX21" s="72" t="s">
        <v>598</v>
      </c>
      <c r="AY21" s="76" t="s">
        <v>596</v>
      </c>
      <c r="AZ21" s="67" t="s">
        <v>596</v>
      </c>
      <c r="BC21" s="139" t="s">
        <v>340</v>
      </c>
      <c r="BD21" s="6">
        <f>IF(M41 &lt;&gt; "", VLOOKUP(CONCATENATE("P", M41), pointsSystem2, 2, FALSE), 0)</f>
        <v>0</v>
      </c>
      <c r="BE21" s="47">
        <f>IF(N41 &lt;&gt; "", VLOOKUP(CONCATENATE("P", N41), pointsSystem2, 3, FALSE), 0)</f>
        <v>0</v>
      </c>
      <c r="BF21" s="6">
        <f>IF(O41 &lt;&gt; "", VLOOKUP(CONCATENATE("P", O41), pointsSystem2, 2, FALSE), 0)</f>
        <v>0</v>
      </c>
      <c r="BG21" s="47">
        <f>IF(P41 &lt;&gt; "", VLOOKUP(CONCATENATE("P", P41), pointsSystem2, 3, FALSE), 0)</f>
        <v>0</v>
      </c>
      <c r="BH21" s="6">
        <f>IF(Q41 &lt;&gt; "", VLOOKUP(CONCATENATE("P", Q41), pointsSystem2, 2, FALSE), 0)</f>
        <v>0</v>
      </c>
      <c r="BI21" s="47">
        <f>IF(R41 &lt;&gt; "", VLOOKUP(CONCATENATE("P", R41), pointsSystem2, 3, FALSE), 0)</f>
        <v>0</v>
      </c>
      <c r="BJ21" s="6">
        <f>IF(S41 &lt;&gt; "", VLOOKUP(CONCATENATE("P", S41), pointsSystem2, 2, FALSE), 0)</f>
        <v>0</v>
      </c>
      <c r="BK21" s="47">
        <f>IF(T41 &lt;&gt; "", VLOOKUP(CONCATENATE("P", T41), pointsSystem2, 3, FALSE), 0)</f>
        <v>0</v>
      </c>
      <c r="BL21" s="6">
        <f>IF(U41 &lt;&gt; "", VLOOKUP(CONCATENATE("P", U41), pointsSystem2, 2, FALSE), 0)</f>
        <v>0</v>
      </c>
      <c r="BM21" s="47">
        <f>IF(V41 &lt;&gt; "", VLOOKUP(CONCATENATE("P", V41), pointsSystem2, 3, FALSE), 0)</f>
        <v>0</v>
      </c>
      <c r="BN21" s="6">
        <f>IF(W41 &lt;&gt; "", VLOOKUP(CONCATENATE("P", W41), pointsSystem2, 2, FALSE), 0)</f>
        <v>0</v>
      </c>
      <c r="BO21" s="47">
        <f>IF(X41 &lt;&gt; "", VLOOKUP(CONCATENATE("P", X41), pointsSystem2, 3, FALSE), 0)</f>
        <v>0</v>
      </c>
      <c r="BP21" s="6">
        <f>IF(Y41 &lt;&gt; "", VLOOKUP(CONCATENATE("P", Y41), pointsSystem2, 2, FALSE), 0)</f>
        <v>0</v>
      </c>
      <c r="BQ21" s="47">
        <f>IF(Z41 &lt;&gt; "", VLOOKUP(CONCATENATE("P", Z41), pointsSystem2, 3, FALSE), 0)</f>
        <v>0</v>
      </c>
      <c r="BR21" s="6">
        <f>IF(AA41 &lt;&gt; "", VLOOKUP(CONCATENATE("P", AA41), pointsSystem2, 2, FALSE), 0)</f>
        <v>0</v>
      </c>
      <c r="BS21" s="47">
        <f>IF(AB41 &lt;&gt; "", VLOOKUP(CONCATENATE("P", AB41), pointsSystem2, 3, FALSE), 0)</f>
        <v>0</v>
      </c>
      <c r="BT21" s="6">
        <f>IF(AC41 &lt;&gt; "", VLOOKUP(CONCATENATE("P", AC41), pointsSystem2, 2, FALSE), 0)</f>
        <v>0</v>
      </c>
      <c r="BU21" s="47">
        <f>IF(AD41 &lt;&gt; "", VLOOKUP(CONCATENATE("P", AD41), pointsSystem2, 3, FALSE), 0)</f>
        <v>0</v>
      </c>
      <c r="BV21" s="6">
        <f>IF(AE41 &lt;&gt; "", VLOOKUP(CONCATENATE("P", AE41), pointsSystem2, 2, FALSE), 0)</f>
        <v>0</v>
      </c>
      <c r="BW21" s="47">
        <f>IF(AF41 &lt;&gt; "", VLOOKUP(CONCATENATE("P", AF41), pointsSystem2, 3, FALSE), 0)</f>
        <v>0</v>
      </c>
      <c r="BX21" s="6">
        <f>IF(AG41 &lt;&gt; "", VLOOKUP(CONCATENATE("P", AG41), pointsSystem2, 2, FALSE), 0)</f>
        <v>0</v>
      </c>
      <c r="BY21" s="47">
        <f>IF(AH41 &lt;&gt; "", VLOOKUP(CONCATENATE("P", AH41), pointsSystem2, 3, FALSE), 0)</f>
        <v>0</v>
      </c>
      <c r="BZ21" s="6">
        <f>IF(AI41 &lt;&gt; "", VLOOKUP(CONCATENATE("P", AI41), pointsSystem2, 2, FALSE), 0)</f>
        <v>0</v>
      </c>
      <c r="CA21" s="47">
        <f>IF(AJ41 &lt;&gt; "", VLOOKUP(CONCATENATE("P", AJ41), pointsSystem2, 3, FALSE), 0)</f>
        <v>0</v>
      </c>
      <c r="CB21" s="6">
        <f>IF(AK41 &lt;&gt; "", VLOOKUP(CONCATENATE("P", AK41), pointsSystem2, 2, FALSE), 0)</f>
        <v>0</v>
      </c>
      <c r="CC21" s="47">
        <f>IF(AL41 &lt;&gt; "", VLOOKUP(CONCATENATE("P", AL41), pointsSystem2, 3, FALSE), 0)</f>
        <v>0</v>
      </c>
      <c r="CD21" s="6">
        <f>IF(AM41 &lt;&gt; "", VLOOKUP(CONCATENATE("P", AM41), pointsSystem2, 2, FALSE), 0)</f>
        <v>0</v>
      </c>
      <c r="CE21" s="47">
        <f>IF(AN41 &lt;&gt; "", VLOOKUP(CONCATENATE("P", AN41), pointsSystem2, 3, FALSE), 0)</f>
        <v>0</v>
      </c>
      <c r="CF21" s="6">
        <f>AO41 * 3</f>
        <v>0</v>
      </c>
      <c r="CG21" s="47">
        <f>AP41 * 1</f>
        <v>0</v>
      </c>
      <c r="DQ21" s="235" t="s">
        <v>10</v>
      </c>
      <c r="DR21" s="6">
        <f>MAX(BD5:BD9, BD18:BD25, BD38:BD41)</f>
        <v>0</v>
      </c>
      <c r="DS21" s="47">
        <f t="shared" ref="DS21:ES21" si="17">MAX(BE5:BE9, BE18:BE25, BE38:BE41)</f>
        <v>0</v>
      </c>
      <c r="DT21" s="6">
        <f t="shared" si="17"/>
        <v>0</v>
      </c>
      <c r="DU21" s="47">
        <f t="shared" si="17"/>
        <v>0</v>
      </c>
      <c r="DV21" s="6">
        <f t="shared" si="17"/>
        <v>0</v>
      </c>
      <c r="DW21" s="47">
        <f t="shared" si="17"/>
        <v>0</v>
      </c>
      <c r="DX21" s="6">
        <f t="shared" si="17"/>
        <v>0</v>
      </c>
      <c r="DY21" s="47">
        <f t="shared" si="17"/>
        <v>0</v>
      </c>
      <c r="DZ21" s="6">
        <f t="shared" si="17"/>
        <v>0</v>
      </c>
      <c r="EA21" s="47">
        <f t="shared" si="17"/>
        <v>0</v>
      </c>
      <c r="EB21" s="6">
        <f t="shared" si="17"/>
        <v>0</v>
      </c>
      <c r="EC21" s="47">
        <f t="shared" si="17"/>
        <v>0</v>
      </c>
      <c r="ED21" s="6">
        <f t="shared" si="17"/>
        <v>0</v>
      </c>
      <c r="EE21" s="47">
        <f t="shared" si="17"/>
        <v>0</v>
      </c>
      <c r="EF21" s="6">
        <f t="shared" si="17"/>
        <v>0</v>
      </c>
      <c r="EG21" s="47">
        <f t="shared" si="17"/>
        <v>0</v>
      </c>
      <c r="EH21" s="6">
        <f t="shared" si="17"/>
        <v>0</v>
      </c>
      <c r="EI21" s="47">
        <f t="shared" si="17"/>
        <v>0</v>
      </c>
      <c r="EJ21" s="6">
        <f t="shared" si="17"/>
        <v>0</v>
      </c>
      <c r="EK21" s="47">
        <f t="shared" si="17"/>
        <v>0</v>
      </c>
      <c r="EL21" s="6">
        <f t="shared" si="17"/>
        <v>0</v>
      </c>
      <c r="EM21" s="47">
        <f t="shared" si="17"/>
        <v>0</v>
      </c>
      <c r="EN21" s="6">
        <f t="shared" si="17"/>
        <v>0</v>
      </c>
      <c r="EO21" s="47">
        <f t="shared" si="17"/>
        <v>0</v>
      </c>
      <c r="EP21" s="6">
        <f t="shared" si="17"/>
        <v>0</v>
      </c>
      <c r="EQ21" s="47">
        <f t="shared" si="17"/>
        <v>0</v>
      </c>
      <c r="ER21" s="6">
        <f t="shared" si="17"/>
        <v>0</v>
      </c>
      <c r="ES21" s="47">
        <f t="shared" si="17"/>
        <v>0</v>
      </c>
      <c r="ET21" s="249">
        <f>SUM(CF5:CF9, CF18:CF25, CF38:CF41)</f>
        <v>0</v>
      </c>
      <c r="EU21" s="251">
        <f>SUM(CG5:CG9, CG18:CG25, CG38:CG41)</f>
        <v>0</v>
      </c>
      <c r="EX21" s="235" t="s">
        <v>10</v>
      </c>
      <c r="EY21" s="192">
        <f>SUM(DR21:EU22)</f>
        <v>0</v>
      </c>
    </row>
    <row r="22" spans="2:155" ht="16.8" customHeight="1" thickBot="1" x14ac:dyDescent="0.35">
      <c r="B22" s="8" t="s">
        <v>51</v>
      </c>
      <c r="C22" s="40" t="s">
        <v>298</v>
      </c>
      <c r="D22" s="40" t="s">
        <v>683</v>
      </c>
      <c r="E22" s="40" t="s">
        <v>325</v>
      </c>
      <c r="F22" s="69" t="s">
        <v>5</v>
      </c>
      <c r="G22" s="74" t="s">
        <v>9</v>
      </c>
      <c r="H22" s="72" t="s">
        <v>12</v>
      </c>
      <c r="I22" s="11">
        <f>SUM(BD27:CG27)</f>
        <v>0</v>
      </c>
      <c r="L22" s="40" t="s">
        <v>683</v>
      </c>
      <c r="M22" s="5"/>
      <c r="N22" s="16"/>
      <c r="O22" s="5"/>
      <c r="P22" s="16"/>
      <c r="Q22" s="5"/>
      <c r="R22" s="16"/>
      <c r="S22" s="5"/>
      <c r="T22" s="16"/>
      <c r="U22" s="5"/>
      <c r="V22" s="16"/>
      <c r="W22" s="5"/>
      <c r="X22" s="16"/>
      <c r="Y22" s="5"/>
      <c r="Z22" s="16"/>
      <c r="AA22" s="5"/>
      <c r="AB22" s="16"/>
      <c r="AC22" s="5"/>
      <c r="AD22" s="16"/>
      <c r="AE22" s="5"/>
      <c r="AF22" s="16"/>
      <c r="AG22" s="5"/>
      <c r="AH22" s="16"/>
      <c r="AI22" s="5"/>
      <c r="AJ22" s="16"/>
      <c r="AK22" s="5"/>
      <c r="AL22" s="16"/>
      <c r="AM22" s="5"/>
      <c r="AN22" s="16"/>
      <c r="AO22" s="5"/>
      <c r="AP22" s="16"/>
      <c r="AX22" s="70" t="s">
        <v>594</v>
      </c>
      <c r="AY22" s="76" t="s">
        <v>596</v>
      </c>
      <c r="AZ22" s="72" t="s">
        <v>598</v>
      </c>
      <c r="BC22" s="43" t="s">
        <v>69</v>
      </c>
      <c r="BD22" s="6">
        <f>IF(M18 &lt;&gt; "", VLOOKUP(CONCATENATE("P", M18), pointsSystem2, 2, FALSE), 0)</f>
        <v>0</v>
      </c>
      <c r="BE22" s="47">
        <f>IF(N18 &lt;&gt; "", VLOOKUP(CONCATENATE("P", N18), pointsSystem2, 3, FALSE), 0)</f>
        <v>0</v>
      </c>
      <c r="BF22" s="6">
        <f>IF(O18 &lt;&gt; "", VLOOKUP(CONCATENATE("P", O18), pointsSystem2, 2, FALSE), 0)</f>
        <v>0</v>
      </c>
      <c r="BG22" s="47">
        <f>IF(P18 &lt;&gt; "", VLOOKUP(CONCATENATE("P", P18), pointsSystem2, 3, FALSE), 0)</f>
        <v>0</v>
      </c>
      <c r="BH22" s="6">
        <f>IF(Q18 &lt;&gt; "", VLOOKUP(CONCATENATE("P", Q18), pointsSystem2, 2, FALSE), 0)</f>
        <v>0</v>
      </c>
      <c r="BI22" s="47">
        <f>IF(R18 &lt;&gt; "", VLOOKUP(CONCATENATE("P", R18), pointsSystem2, 3, FALSE), 0)</f>
        <v>0</v>
      </c>
      <c r="BJ22" s="6">
        <f>IF(S18 &lt;&gt; "", VLOOKUP(CONCATENATE("P", S18), pointsSystem2, 2, FALSE), 0)</f>
        <v>0</v>
      </c>
      <c r="BK22" s="47">
        <f>IF(T18 &lt;&gt; "", VLOOKUP(CONCATENATE("P", T18), pointsSystem2, 3, FALSE), 0)</f>
        <v>0</v>
      </c>
      <c r="BL22" s="6">
        <f>IF(U18 &lt;&gt; "", VLOOKUP(CONCATENATE("P", U18), pointsSystem2, 2, FALSE), 0)</f>
        <v>0</v>
      </c>
      <c r="BM22" s="47">
        <f>IF(V18 &lt;&gt; "", VLOOKUP(CONCATENATE("P", V18), pointsSystem2, 3, FALSE), 0)</f>
        <v>0</v>
      </c>
      <c r="BN22" s="6">
        <f>IF(W18 &lt;&gt; "", VLOOKUP(CONCATENATE("P", W18), pointsSystem2, 2, FALSE), 0)</f>
        <v>0</v>
      </c>
      <c r="BO22" s="47">
        <f>IF(X18 &lt;&gt; "", VLOOKUP(CONCATENATE("P", X18), pointsSystem2, 3, FALSE), 0)</f>
        <v>0</v>
      </c>
      <c r="BP22" s="6">
        <f>IF(Y18 &lt;&gt; "", VLOOKUP(CONCATENATE("P", Y18), pointsSystem2, 2, FALSE), 0)</f>
        <v>0</v>
      </c>
      <c r="BQ22" s="47">
        <f>IF(Z18 &lt;&gt; "", VLOOKUP(CONCATENATE("P", Z18), pointsSystem2, 3, FALSE), 0)</f>
        <v>0</v>
      </c>
      <c r="BR22" s="6">
        <f>IF(AA18 &lt;&gt; "", VLOOKUP(CONCATENATE("P", AA18), pointsSystem2, 2, FALSE), 0)</f>
        <v>0</v>
      </c>
      <c r="BS22" s="47">
        <f>IF(AB18 &lt;&gt; "", VLOOKUP(CONCATENATE("P", AB18), pointsSystem2, 3, FALSE), 0)</f>
        <v>0</v>
      </c>
      <c r="BT22" s="6">
        <f>IF(AC18 &lt;&gt; "", VLOOKUP(CONCATENATE("P", AC18), pointsSystem2, 2, FALSE), 0)</f>
        <v>0</v>
      </c>
      <c r="BU22" s="47">
        <f>IF(AD18 &lt;&gt; "", VLOOKUP(CONCATENATE("P", AD18), pointsSystem2, 3, FALSE), 0)</f>
        <v>0</v>
      </c>
      <c r="BV22" s="6">
        <f>IF(AE18 &lt;&gt; "", VLOOKUP(CONCATENATE("P", AE18), pointsSystem2, 2, FALSE), 0)</f>
        <v>0</v>
      </c>
      <c r="BW22" s="47">
        <f>IF(AF18 &lt;&gt; "", VLOOKUP(CONCATENATE("P", AF18), pointsSystem2, 3, FALSE), 0)</f>
        <v>0</v>
      </c>
      <c r="BX22" s="6">
        <f>IF(AG18 &lt;&gt; "", VLOOKUP(CONCATENATE("P", AG18), pointsSystem2, 2, FALSE), 0)</f>
        <v>0</v>
      </c>
      <c r="BY22" s="47">
        <f>IF(AH18 &lt;&gt; "", VLOOKUP(CONCATENATE("P", AH18), pointsSystem2, 3, FALSE), 0)</f>
        <v>0</v>
      </c>
      <c r="BZ22" s="6">
        <f>IF(AI18 &lt;&gt; "", VLOOKUP(CONCATENATE("P", AI18), pointsSystem2, 2, FALSE), 0)</f>
        <v>0</v>
      </c>
      <c r="CA22" s="47">
        <f>IF(AJ18 &lt;&gt; "", VLOOKUP(CONCATENATE("P", AJ18), pointsSystem2, 3, FALSE), 0)</f>
        <v>0</v>
      </c>
      <c r="CB22" s="6">
        <f>IF(AK18 &lt;&gt; "", VLOOKUP(CONCATENATE("P", AK18), pointsSystem2, 2, FALSE), 0)</f>
        <v>0</v>
      </c>
      <c r="CC22" s="47">
        <f>IF(AL18 &lt;&gt; "", VLOOKUP(CONCATENATE("P", AL18), pointsSystem2, 3, FALSE), 0)</f>
        <v>0</v>
      </c>
      <c r="CD22" s="6">
        <f>IF(AM18 &lt;&gt; "", VLOOKUP(CONCATENATE("P", AM18), pointsSystem2, 2, FALSE), 0)</f>
        <v>0</v>
      </c>
      <c r="CE22" s="47">
        <f>IF(AN18 &lt;&gt; "", VLOOKUP(CONCATENATE("P", AN18), pointsSystem2, 3, FALSE), 0)</f>
        <v>0</v>
      </c>
      <c r="CF22" s="6">
        <f>AO18 * 3</f>
        <v>0</v>
      </c>
      <c r="CG22" s="47">
        <f>AP18 * 1</f>
        <v>0</v>
      </c>
      <c r="DQ22" s="235"/>
      <c r="DR22" s="6">
        <f>LARGE((BD5:BD9, BD18:BD25, BD38:BD41), 2)</f>
        <v>0</v>
      </c>
      <c r="DS22" s="47">
        <f>LARGE((BE5:BE9, BE18:BE25, BE38:BE41), 2)</f>
        <v>0</v>
      </c>
      <c r="DT22" s="6">
        <f>LARGE((BF5:BF9, BF18:BF25, BF38:BF41), 2)</f>
        <v>0</v>
      </c>
      <c r="DU22" s="47">
        <f>LARGE((BG5:BG9, BG18:BG25, BG38:BG41), 2)</f>
        <v>0</v>
      </c>
      <c r="DV22" s="6">
        <f>LARGE((BH5:BH9, BH18:BH25, BH38:BH41), 2)</f>
        <v>0</v>
      </c>
      <c r="DW22" s="47">
        <f>LARGE((BI5:BI9, BI18:BI25, BI38:BI41), 2)</f>
        <v>0</v>
      </c>
      <c r="DX22" s="6">
        <f>LARGE((BJ5:BJ9, BJ18:BJ25, BJ38:BJ41), 2)</f>
        <v>0</v>
      </c>
      <c r="DY22" s="47">
        <f>LARGE((BK5:BK9, BK18:BK25, BK38:BK41), 2)</f>
        <v>0</v>
      </c>
      <c r="DZ22" s="6">
        <f>LARGE((BL5:BL9, BL18:BL25, BL38:BL41), 2)</f>
        <v>0</v>
      </c>
      <c r="EA22" s="47">
        <f>LARGE((BM5:BM9, BM18:BM25, BM38:BM41), 2)</f>
        <v>0</v>
      </c>
      <c r="EB22" s="6">
        <f>LARGE((BN5:BN9, BN18:BN25, BN38:BN41), 2)</f>
        <v>0</v>
      </c>
      <c r="EC22" s="47">
        <f>LARGE((BO5:BO9, BO18:BO25, BO38:BO41), 2)</f>
        <v>0</v>
      </c>
      <c r="ED22" s="6">
        <f>LARGE((BP5:BP9, BP18:BP25, BP38:BP41), 2)</f>
        <v>0</v>
      </c>
      <c r="EE22" s="47">
        <f>LARGE((BQ5:BQ9, BQ18:BQ25, BQ38:BQ41), 2)</f>
        <v>0</v>
      </c>
      <c r="EF22" s="6">
        <f>LARGE((BR5:BR9, BR18:BR25, BR38:BR41), 2)</f>
        <v>0</v>
      </c>
      <c r="EG22" s="47">
        <f>LARGE((BS5:BS9, BS18:BS25, BS38:BS41), 2)</f>
        <v>0</v>
      </c>
      <c r="EH22" s="6">
        <f>LARGE((BT5:BT9, BT18:BT25, BT38:BT41), 2)</f>
        <v>0</v>
      </c>
      <c r="EI22" s="47">
        <f>LARGE((BU5:BU9, BU18:BU25, BU38:BU41), 2)</f>
        <v>0</v>
      </c>
      <c r="EJ22" s="6">
        <f>LARGE((BV5:BV9, BV18:BV25, BV38:BV41), 2)</f>
        <v>0</v>
      </c>
      <c r="EK22" s="47">
        <f>LARGE((BW5:BW9, BW18:BW25, BW38:BW41), 2)</f>
        <v>0</v>
      </c>
      <c r="EL22" s="6">
        <f>LARGE((BX5:BX9, BX18:BX25, BX38:BX41), 2)</f>
        <v>0</v>
      </c>
      <c r="EM22" s="47">
        <f>LARGE((BY5:BY9, BY18:BY25, BY38:BY41), 2)</f>
        <v>0</v>
      </c>
      <c r="EN22" s="6">
        <f>LARGE((BZ5:BZ9, BZ18:BZ25, BZ38:BZ41), 2)</f>
        <v>0</v>
      </c>
      <c r="EO22" s="47">
        <f>LARGE((CA5:CA9, CA18:CA25, CA38:CA41), 2)</f>
        <v>0</v>
      </c>
      <c r="EP22" s="6">
        <f>LARGE((CB5:CB9, CB18:CB25, CB38:CB41), 2)</f>
        <v>0</v>
      </c>
      <c r="EQ22" s="47">
        <f>LARGE((CC5:CC9, CC18:CC25, CC38:CC41), 2)</f>
        <v>0</v>
      </c>
      <c r="ER22" s="6">
        <f>LARGE((CD5:CD9, CD18:CD25, CD38:CD41), 2)</f>
        <v>0</v>
      </c>
      <c r="ES22" s="47">
        <f>LARGE((CE5:CE9, CE18:CE25, CE38:CE41), 2)</f>
        <v>0</v>
      </c>
      <c r="ET22" s="248"/>
      <c r="EU22" s="254"/>
      <c r="EX22" s="235"/>
      <c r="EY22" s="192"/>
    </row>
    <row r="23" spans="2:155" ht="16.8" customHeight="1" thickBot="1" x14ac:dyDescent="0.35">
      <c r="B23" s="8" t="s">
        <v>52</v>
      </c>
      <c r="C23" s="40" t="s">
        <v>208</v>
      </c>
      <c r="D23" s="40" t="s">
        <v>684</v>
      </c>
      <c r="E23" s="40" t="s">
        <v>325</v>
      </c>
      <c r="F23" s="69" t="s">
        <v>5</v>
      </c>
      <c r="G23" s="74" t="s">
        <v>9</v>
      </c>
      <c r="H23" s="72" t="s">
        <v>12</v>
      </c>
      <c r="I23" s="11">
        <f>SUM(BD28:CG28)</f>
        <v>0</v>
      </c>
      <c r="L23" s="40" t="s">
        <v>684</v>
      </c>
      <c r="M23" s="5"/>
      <c r="N23" s="16"/>
      <c r="O23" s="5"/>
      <c r="P23" s="16"/>
      <c r="Q23" s="5"/>
      <c r="R23" s="16"/>
      <c r="S23" s="5"/>
      <c r="T23" s="16"/>
      <c r="U23" s="5"/>
      <c r="V23" s="16"/>
      <c r="W23" s="5"/>
      <c r="X23" s="16"/>
      <c r="Y23" s="5"/>
      <c r="Z23" s="16"/>
      <c r="AA23" s="5"/>
      <c r="AB23" s="16"/>
      <c r="AC23" s="5"/>
      <c r="AD23" s="16"/>
      <c r="AE23" s="5"/>
      <c r="AF23" s="16"/>
      <c r="AG23" s="5"/>
      <c r="AH23" s="16"/>
      <c r="AI23" s="5"/>
      <c r="AJ23" s="16"/>
      <c r="AK23" s="5"/>
      <c r="AL23" s="16"/>
      <c r="AM23" s="5"/>
      <c r="AN23" s="16"/>
      <c r="AO23" s="5"/>
      <c r="AP23" s="16"/>
      <c r="AX23" s="70" t="s">
        <v>594</v>
      </c>
      <c r="AY23" s="76" t="s">
        <v>596</v>
      </c>
      <c r="AZ23" s="72" t="s">
        <v>598</v>
      </c>
      <c r="BC23" s="43" t="s">
        <v>70</v>
      </c>
      <c r="BD23" s="6">
        <f>IF(M19 &lt;&gt; "", VLOOKUP(CONCATENATE("P", M19), pointsSystem2, 2, FALSE), 0)</f>
        <v>0</v>
      </c>
      <c r="BE23" s="47">
        <f>IF(N19 &lt;&gt; "", VLOOKUP(CONCATENATE("P", N19), pointsSystem2, 3, FALSE), 0)</f>
        <v>0</v>
      </c>
      <c r="BF23" s="6">
        <f>IF(O19 &lt;&gt; "", VLOOKUP(CONCATENATE("P", O19), pointsSystem2, 2, FALSE), 0)</f>
        <v>0</v>
      </c>
      <c r="BG23" s="47">
        <f>IF(P19 &lt;&gt; "", VLOOKUP(CONCATENATE("P", P19), pointsSystem2, 3, FALSE), 0)</f>
        <v>0</v>
      </c>
      <c r="BH23" s="6">
        <f>IF(Q19 &lt;&gt; "", VLOOKUP(CONCATENATE("P", Q19), pointsSystem2, 2, FALSE), 0)</f>
        <v>0</v>
      </c>
      <c r="BI23" s="47">
        <f>IF(R19 &lt;&gt; "", VLOOKUP(CONCATENATE("P", R19), pointsSystem2, 3, FALSE), 0)</f>
        <v>0</v>
      </c>
      <c r="BJ23" s="6">
        <f>IF(S19 &lt;&gt; "", VLOOKUP(CONCATENATE("P", S19), pointsSystem2, 2, FALSE), 0)</f>
        <v>0</v>
      </c>
      <c r="BK23" s="47">
        <f>IF(T19 &lt;&gt; "", VLOOKUP(CONCATENATE("P", T19), pointsSystem2, 3, FALSE), 0)</f>
        <v>0</v>
      </c>
      <c r="BL23" s="6">
        <f>IF(U19 &lt;&gt; "", VLOOKUP(CONCATENATE("P", U19), pointsSystem2, 2, FALSE), 0)</f>
        <v>0</v>
      </c>
      <c r="BM23" s="47">
        <f>IF(V19 &lt;&gt; "", VLOOKUP(CONCATENATE("P", V19), pointsSystem2, 3, FALSE), 0)</f>
        <v>0</v>
      </c>
      <c r="BN23" s="6">
        <f>IF(W19 &lt;&gt; "", VLOOKUP(CONCATENATE("P", W19), pointsSystem2, 2, FALSE), 0)</f>
        <v>0</v>
      </c>
      <c r="BO23" s="47">
        <f>IF(X19 &lt;&gt; "", VLOOKUP(CONCATENATE("P", X19), pointsSystem2, 3, FALSE), 0)</f>
        <v>0</v>
      </c>
      <c r="BP23" s="6">
        <f>IF(Y19 &lt;&gt; "", VLOOKUP(CONCATENATE("P", Y19), pointsSystem2, 2, FALSE), 0)</f>
        <v>0</v>
      </c>
      <c r="BQ23" s="47">
        <f>IF(Z19 &lt;&gt; "", VLOOKUP(CONCATENATE("P", Z19), pointsSystem2, 3, FALSE), 0)</f>
        <v>0</v>
      </c>
      <c r="BR23" s="6">
        <f>IF(AA19 &lt;&gt; "", VLOOKUP(CONCATENATE("P", AA19), pointsSystem2, 2, FALSE), 0)</f>
        <v>0</v>
      </c>
      <c r="BS23" s="47">
        <f>IF(AB19 &lt;&gt; "", VLOOKUP(CONCATENATE("P", AB19), pointsSystem2, 3, FALSE), 0)</f>
        <v>0</v>
      </c>
      <c r="BT23" s="6">
        <f>IF(AC19 &lt;&gt; "", VLOOKUP(CONCATENATE("P", AC19), pointsSystem2, 2, FALSE), 0)</f>
        <v>0</v>
      </c>
      <c r="BU23" s="47">
        <f>IF(AD19 &lt;&gt; "", VLOOKUP(CONCATENATE("P", AD19), pointsSystem2, 3, FALSE), 0)</f>
        <v>0</v>
      </c>
      <c r="BV23" s="6">
        <f>IF(AE19 &lt;&gt; "", VLOOKUP(CONCATENATE("P", AE19), pointsSystem2, 2, FALSE), 0)</f>
        <v>0</v>
      </c>
      <c r="BW23" s="47">
        <f>IF(AF19 &lt;&gt; "", VLOOKUP(CONCATENATE("P", AF19), pointsSystem2, 3, FALSE), 0)</f>
        <v>0</v>
      </c>
      <c r="BX23" s="6">
        <f>IF(AG19 &lt;&gt; "", VLOOKUP(CONCATENATE("P", AG19), pointsSystem2, 2, FALSE), 0)</f>
        <v>0</v>
      </c>
      <c r="BY23" s="47">
        <f>IF(AH19 &lt;&gt; "", VLOOKUP(CONCATENATE("P", AH19), pointsSystem2, 3, FALSE), 0)</f>
        <v>0</v>
      </c>
      <c r="BZ23" s="6">
        <f>IF(AI19 &lt;&gt; "", VLOOKUP(CONCATENATE("P", AI19), pointsSystem2, 2, FALSE), 0)</f>
        <v>0</v>
      </c>
      <c r="CA23" s="47">
        <f>IF(AJ19 &lt;&gt; "", VLOOKUP(CONCATENATE("P", AJ19), pointsSystem2, 3, FALSE), 0)</f>
        <v>0</v>
      </c>
      <c r="CB23" s="6">
        <f>IF(AK19 &lt;&gt; "", VLOOKUP(CONCATENATE("P", AK19), pointsSystem2, 2, FALSE), 0)</f>
        <v>0</v>
      </c>
      <c r="CC23" s="47">
        <f>IF(AL19 &lt;&gt; "", VLOOKUP(CONCATENATE("P", AL19), pointsSystem2, 3, FALSE), 0)</f>
        <v>0</v>
      </c>
      <c r="CD23" s="6">
        <f>IF(AM19 &lt;&gt; "", VLOOKUP(CONCATENATE("P", AM19), pointsSystem2, 2, FALSE), 0)</f>
        <v>0</v>
      </c>
      <c r="CE23" s="47">
        <f>IF(AN19 &lt;&gt; "", VLOOKUP(CONCATENATE("P", AN19), pointsSystem2, 3, FALSE), 0)</f>
        <v>0</v>
      </c>
      <c r="CF23" s="6">
        <f>AO19 * 3</f>
        <v>0</v>
      </c>
      <c r="CG23" s="47">
        <f>AP19 * 1</f>
        <v>0</v>
      </c>
      <c r="DQ23" s="233" t="s">
        <v>9</v>
      </c>
      <c r="DR23" s="6">
        <f>MAX(BD14:BD17, BD26:BD29)</f>
        <v>0</v>
      </c>
      <c r="DS23" s="47">
        <f t="shared" ref="DS23:ES23" si="18">MAX(BE14:BE17, BE26:BE29)</f>
        <v>0</v>
      </c>
      <c r="DT23" s="6">
        <f t="shared" si="18"/>
        <v>0</v>
      </c>
      <c r="DU23" s="47">
        <f t="shared" si="18"/>
        <v>0</v>
      </c>
      <c r="DV23" s="6">
        <f t="shared" si="18"/>
        <v>0</v>
      </c>
      <c r="DW23" s="47">
        <f t="shared" si="18"/>
        <v>0</v>
      </c>
      <c r="DX23" s="6">
        <f t="shared" si="18"/>
        <v>0</v>
      </c>
      <c r="DY23" s="47">
        <f t="shared" si="18"/>
        <v>0</v>
      </c>
      <c r="DZ23" s="6">
        <f t="shared" si="18"/>
        <v>0</v>
      </c>
      <c r="EA23" s="47">
        <f t="shared" si="18"/>
        <v>0</v>
      </c>
      <c r="EB23" s="6">
        <f t="shared" si="18"/>
        <v>0</v>
      </c>
      <c r="EC23" s="47">
        <f t="shared" si="18"/>
        <v>0</v>
      </c>
      <c r="ED23" s="6">
        <f t="shared" si="18"/>
        <v>0</v>
      </c>
      <c r="EE23" s="47">
        <f t="shared" si="18"/>
        <v>0</v>
      </c>
      <c r="EF23" s="6">
        <f t="shared" si="18"/>
        <v>0</v>
      </c>
      <c r="EG23" s="47">
        <f t="shared" si="18"/>
        <v>0</v>
      </c>
      <c r="EH23" s="6">
        <f t="shared" si="18"/>
        <v>0</v>
      </c>
      <c r="EI23" s="47">
        <f t="shared" si="18"/>
        <v>0</v>
      </c>
      <c r="EJ23" s="6">
        <f t="shared" si="18"/>
        <v>0</v>
      </c>
      <c r="EK23" s="47">
        <f t="shared" si="18"/>
        <v>0</v>
      </c>
      <c r="EL23" s="6">
        <f t="shared" si="18"/>
        <v>0</v>
      </c>
      <c r="EM23" s="47">
        <f t="shared" si="18"/>
        <v>0</v>
      </c>
      <c r="EN23" s="6">
        <f t="shared" si="18"/>
        <v>0</v>
      </c>
      <c r="EO23" s="47">
        <f t="shared" si="18"/>
        <v>0</v>
      </c>
      <c r="EP23" s="6">
        <f t="shared" si="18"/>
        <v>0</v>
      </c>
      <c r="EQ23" s="47">
        <f t="shared" si="18"/>
        <v>0</v>
      </c>
      <c r="ER23" s="6">
        <f t="shared" si="18"/>
        <v>0</v>
      </c>
      <c r="ES23" s="47">
        <f t="shared" si="18"/>
        <v>0</v>
      </c>
      <c r="ET23" s="249">
        <f>SUM(CF14:CF17, CF26:CF29)</f>
        <v>0</v>
      </c>
      <c r="EU23" s="251">
        <f>SUM(CG14:CG17, CG26:CG29)</f>
        <v>0</v>
      </c>
      <c r="EX23" s="233" t="s">
        <v>9</v>
      </c>
      <c r="EY23" s="192">
        <f>SUM(DR23:EU24)</f>
        <v>0</v>
      </c>
    </row>
    <row r="24" spans="2:155" ht="16.8" customHeight="1" thickBot="1" x14ac:dyDescent="0.35">
      <c r="B24" s="8" t="s">
        <v>53</v>
      </c>
      <c r="C24" s="42" t="s">
        <v>184</v>
      </c>
      <c r="D24" s="42" t="s">
        <v>73</v>
      </c>
      <c r="E24" s="42" t="s">
        <v>335</v>
      </c>
      <c r="F24" s="70" t="s">
        <v>34</v>
      </c>
      <c r="G24" s="75" t="s">
        <v>8</v>
      </c>
      <c r="H24" s="72" t="s">
        <v>12</v>
      </c>
      <c r="I24" s="11">
        <f>SUM(BD30:CG30)</f>
        <v>0</v>
      </c>
      <c r="L24" s="42" t="s">
        <v>73</v>
      </c>
      <c r="M24" s="5"/>
      <c r="N24" s="16"/>
      <c r="O24" s="5"/>
      <c r="P24" s="16"/>
      <c r="Q24" s="5"/>
      <c r="R24" s="16"/>
      <c r="S24" s="5"/>
      <c r="T24" s="16"/>
      <c r="U24" s="5"/>
      <c r="V24" s="16"/>
      <c r="W24" s="5"/>
      <c r="X24" s="16"/>
      <c r="Y24" s="5"/>
      <c r="Z24" s="16"/>
      <c r="AA24" s="5"/>
      <c r="AB24" s="16"/>
      <c r="AC24" s="5"/>
      <c r="AD24" s="16"/>
      <c r="AE24" s="5"/>
      <c r="AF24" s="16"/>
      <c r="AG24" s="5"/>
      <c r="AH24" s="16"/>
      <c r="AI24" s="5"/>
      <c r="AJ24" s="16"/>
      <c r="AK24" s="5"/>
      <c r="AL24" s="16"/>
      <c r="AM24" s="5"/>
      <c r="AN24" s="16"/>
      <c r="AO24" s="5"/>
      <c r="AP24" s="16"/>
      <c r="AX24" s="70" t="s">
        <v>594</v>
      </c>
      <c r="AY24" s="76" t="s">
        <v>596</v>
      </c>
      <c r="AZ24" s="72" t="s">
        <v>598</v>
      </c>
      <c r="BC24" s="43" t="s">
        <v>68</v>
      </c>
      <c r="BD24" s="6">
        <f>IF(M20 &lt;&gt; "", VLOOKUP(CONCATENATE("P", M20), pointsSystem2, 2, FALSE), 0)</f>
        <v>0</v>
      </c>
      <c r="BE24" s="47">
        <f>IF(N20 &lt;&gt; "", VLOOKUP(CONCATENATE("P", N20), pointsSystem2, 3, FALSE), 0)</f>
        <v>0</v>
      </c>
      <c r="BF24" s="6">
        <f>IF(O20 &lt;&gt; "", VLOOKUP(CONCATENATE("P", O20), pointsSystem2, 2, FALSE), 0)</f>
        <v>0</v>
      </c>
      <c r="BG24" s="47">
        <f>IF(P20 &lt;&gt; "", VLOOKUP(CONCATENATE("P", P20), pointsSystem2, 3, FALSE), 0)</f>
        <v>0</v>
      </c>
      <c r="BH24" s="6">
        <f>IF(Q20 &lt;&gt; "", VLOOKUP(CONCATENATE("P", Q20), pointsSystem2, 2, FALSE), 0)</f>
        <v>0</v>
      </c>
      <c r="BI24" s="47">
        <f>IF(R20 &lt;&gt; "", VLOOKUP(CONCATENATE("P", R20), pointsSystem2, 3, FALSE), 0)</f>
        <v>0</v>
      </c>
      <c r="BJ24" s="6">
        <f>IF(S20 &lt;&gt; "", VLOOKUP(CONCATENATE("P", S20), pointsSystem2, 2, FALSE), 0)</f>
        <v>0</v>
      </c>
      <c r="BK24" s="47">
        <f>IF(T20 &lt;&gt; "", VLOOKUP(CONCATENATE("P", T20), pointsSystem2, 3, FALSE), 0)</f>
        <v>0</v>
      </c>
      <c r="BL24" s="6">
        <f>IF(U20 &lt;&gt; "", VLOOKUP(CONCATENATE("P", U20), pointsSystem2, 2, FALSE), 0)</f>
        <v>0</v>
      </c>
      <c r="BM24" s="47">
        <f>IF(V20 &lt;&gt; "", VLOOKUP(CONCATENATE("P", V20), pointsSystem2, 3, FALSE), 0)</f>
        <v>0</v>
      </c>
      <c r="BN24" s="6">
        <f>IF(W20 &lt;&gt; "", VLOOKUP(CONCATENATE("P", W20), pointsSystem2, 2, FALSE), 0)</f>
        <v>0</v>
      </c>
      <c r="BO24" s="47">
        <f>IF(X20 &lt;&gt; "", VLOOKUP(CONCATENATE("P", X20), pointsSystem2, 3, FALSE), 0)</f>
        <v>0</v>
      </c>
      <c r="BP24" s="6">
        <f>IF(Y20 &lt;&gt; "", VLOOKUP(CONCATENATE("P", Y20), pointsSystem2, 2, FALSE), 0)</f>
        <v>0</v>
      </c>
      <c r="BQ24" s="47">
        <f>IF(Z20 &lt;&gt; "", VLOOKUP(CONCATENATE("P", Z20), pointsSystem2, 3, FALSE), 0)</f>
        <v>0</v>
      </c>
      <c r="BR24" s="6">
        <f>IF(AA20 &lt;&gt; "", VLOOKUP(CONCATENATE("P", AA20), pointsSystem2, 2, FALSE), 0)</f>
        <v>0</v>
      </c>
      <c r="BS24" s="47">
        <f>IF(AB20 &lt;&gt; "", VLOOKUP(CONCATENATE("P", AB20), pointsSystem2, 3, FALSE), 0)</f>
        <v>0</v>
      </c>
      <c r="BT24" s="6">
        <f>IF(AC20 &lt;&gt; "", VLOOKUP(CONCATENATE("P", AC20), pointsSystem2, 2, FALSE), 0)</f>
        <v>0</v>
      </c>
      <c r="BU24" s="47">
        <f>IF(AD20 &lt;&gt; "", VLOOKUP(CONCATENATE("P", AD20), pointsSystem2, 3, FALSE), 0)</f>
        <v>0</v>
      </c>
      <c r="BV24" s="6">
        <f>IF(AE20 &lt;&gt; "", VLOOKUP(CONCATENATE("P", AE20), pointsSystem2, 2, FALSE), 0)</f>
        <v>0</v>
      </c>
      <c r="BW24" s="47">
        <f>IF(AF20 &lt;&gt; "", VLOOKUP(CONCATENATE("P", AF20), pointsSystem2, 3, FALSE), 0)</f>
        <v>0</v>
      </c>
      <c r="BX24" s="6">
        <f>IF(AG20 &lt;&gt; "", VLOOKUP(CONCATENATE("P", AG20), pointsSystem2, 2, FALSE), 0)</f>
        <v>0</v>
      </c>
      <c r="BY24" s="47">
        <f>IF(AH20 &lt;&gt; "", VLOOKUP(CONCATENATE("P", AH20), pointsSystem2, 3, FALSE), 0)</f>
        <v>0</v>
      </c>
      <c r="BZ24" s="6">
        <f>IF(AI20 &lt;&gt; "", VLOOKUP(CONCATENATE("P", AI20), pointsSystem2, 2, FALSE), 0)</f>
        <v>0</v>
      </c>
      <c r="CA24" s="47">
        <f>IF(AJ20 &lt;&gt; "", VLOOKUP(CONCATENATE("P", AJ20), pointsSystem2, 3, FALSE), 0)</f>
        <v>0</v>
      </c>
      <c r="CB24" s="6">
        <f>IF(AK20 &lt;&gt; "", VLOOKUP(CONCATENATE("P", AK20), pointsSystem2, 2, FALSE), 0)</f>
        <v>0</v>
      </c>
      <c r="CC24" s="47">
        <f>IF(AL20 &lt;&gt; "", VLOOKUP(CONCATENATE("P", AL20), pointsSystem2, 3, FALSE), 0)</f>
        <v>0</v>
      </c>
      <c r="CD24" s="6">
        <f>IF(AM20 &lt;&gt; "", VLOOKUP(CONCATENATE("P", AM20), pointsSystem2, 2, FALSE), 0)</f>
        <v>0</v>
      </c>
      <c r="CE24" s="47">
        <f>IF(AN20 &lt;&gt; "", VLOOKUP(CONCATENATE("P", AN20), pointsSystem2, 3, FALSE), 0)</f>
        <v>0</v>
      </c>
      <c r="CF24" s="6">
        <f>AO20 * 3</f>
        <v>0</v>
      </c>
      <c r="CG24" s="47">
        <f>AP20 * 1</f>
        <v>0</v>
      </c>
      <c r="DQ24" s="233"/>
      <c r="DR24" s="6">
        <f>LARGE((BD14:BD17, BD26:BD29), 2)</f>
        <v>0</v>
      </c>
      <c r="DS24" s="47">
        <f>LARGE((BE14:BE17, BE26:BE29), 2)</f>
        <v>0</v>
      </c>
      <c r="DT24" s="6">
        <f>LARGE((BF14:BF17, BF26:BF29), 2)</f>
        <v>0</v>
      </c>
      <c r="DU24" s="47">
        <f>LARGE((BG14:BG17, BG26:BG29), 2)</f>
        <v>0</v>
      </c>
      <c r="DV24" s="6">
        <f>LARGE((BH14:BH17, BH26:BH29), 2)</f>
        <v>0</v>
      </c>
      <c r="DW24" s="47">
        <f>LARGE((BI14:BI17, BI26:BI29), 2)</f>
        <v>0</v>
      </c>
      <c r="DX24" s="6">
        <f>LARGE((BJ14:BJ17, BJ26:BJ29), 2)</f>
        <v>0</v>
      </c>
      <c r="DY24" s="47">
        <f>LARGE((BK14:BK17, BK26:BK29), 2)</f>
        <v>0</v>
      </c>
      <c r="DZ24" s="6">
        <f>LARGE((BL14:BL17, BL26:BL29), 2)</f>
        <v>0</v>
      </c>
      <c r="EA24" s="47">
        <f>LARGE((BM14:BM17, BM26:BM29), 2)</f>
        <v>0</v>
      </c>
      <c r="EB24" s="6">
        <f>LARGE((BN14:BN17, BN26:BN29), 2)</f>
        <v>0</v>
      </c>
      <c r="EC24" s="47">
        <f>LARGE((BO14:BO17, BO26:BO29), 2)</f>
        <v>0</v>
      </c>
      <c r="ED24" s="6">
        <f>LARGE((BP14:BP17, BP26:BP29), 2)</f>
        <v>0</v>
      </c>
      <c r="EE24" s="47">
        <f>LARGE((BQ14:BQ17, BQ26:BQ29), 2)</f>
        <v>0</v>
      </c>
      <c r="EF24" s="6">
        <f>LARGE((BR14:BR17, BR26:BR29), 2)</f>
        <v>0</v>
      </c>
      <c r="EG24" s="47">
        <f>LARGE((BS14:BS17, BS26:BS29), 2)</f>
        <v>0</v>
      </c>
      <c r="EH24" s="6">
        <f>LARGE((BT14:BT17, BT26:BT29), 2)</f>
        <v>0</v>
      </c>
      <c r="EI24" s="47">
        <f>LARGE((BU14:BU17, BU26:BU29), 2)</f>
        <v>0</v>
      </c>
      <c r="EJ24" s="6">
        <f>LARGE((BV14:BV17, BV26:BV29), 2)</f>
        <v>0</v>
      </c>
      <c r="EK24" s="47">
        <f>LARGE((BW14:BW17, BW26:BW29), 2)</f>
        <v>0</v>
      </c>
      <c r="EL24" s="6">
        <f>LARGE((BX14:BX17, BX26:BX29), 2)</f>
        <v>0</v>
      </c>
      <c r="EM24" s="47">
        <f>LARGE((BY14:BY17, BY26:BY29), 2)</f>
        <v>0</v>
      </c>
      <c r="EN24" s="6">
        <f>LARGE((BZ14:BZ17, BZ26:BZ29), 2)</f>
        <v>0</v>
      </c>
      <c r="EO24" s="47">
        <f>LARGE((CA14:CA17, CA26:CA29), 2)</f>
        <v>0</v>
      </c>
      <c r="EP24" s="6">
        <f>LARGE((CB14:CB17, CB26:CB29), 2)</f>
        <v>0</v>
      </c>
      <c r="EQ24" s="47">
        <f>LARGE((CC14:CC17, CC26:CC29), 2)</f>
        <v>0</v>
      </c>
      <c r="ER24" s="6">
        <f>LARGE((CD14:CD17, CD26:CD29), 2)</f>
        <v>0</v>
      </c>
      <c r="ES24" s="47">
        <f>LARGE((CE14:CE17, CE26:CE29), 2)</f>
        <v>0</v>
      </c>
      <c r="ET24" s="250"/>
      <c r="EU24" s="252"/>
      <c r="EX24" s="233"/>
      <c r="EY24" s="192"/>
    </row>
    <row r="25" spans="2:155" ht="16.8" customHeight="1" x14ac:dyDescent="0.3">
      <c r="B25" s="8" t="s">
        <v>54</v>
      </c>
      <c r="C25" s="42" t="s">
        <v>194</v>
      </c>
      <c r="D25" s="42" t="s">
        <v>80</v>
      </c>
      <c r="E25" s="42" t="s">
        <v>335</v>
      </c>
      <c r="F25" s="70" t="s">
        <v>34</v>
      </c>
      <c r="G25" s="75" t="s">
        <v>8</v>
      </c>
      <c r="H25" s="72" t="s">
        <v>12</v>
      </c>
      <c r="I25" s="11">
        <f>SUM(BD31:CG31)</f>
        <v>0</v>
      </c>
      <c r="L25" s="42" t="s">
        <v>80</v>
      </c>
      <c r="M25" s="5"/>
      <c r="N25" s="16"/>
      <c r="O25" s="5"/>
      <c r="P25" s="16"/>
      <c r="Q25" s="5"/>
      <c r="R25" s="16"/>
      <c r="S25" s="5"/>
      <c r="T25" s="16"/>
      <c r="U25" s="5"/>
      <c r="V25" s="16"/>
      <c r="W25" s="5"/>
      <c r="X25" s="16"/>
      <c r="Y25" s="5"/>
      <c r="Z25" s="16"/>
      <c r="AA25" s="5"/>
      <c r="AB25" s="16"/>
      <c r="AC25" s="5"/>
      <c r="AD25" s="16"/>
      <c r="AE25" s="5"/>
      <c r="AF25" s="16"/>
      <c r="AG25" s="5"/>
      <c r="AH25" s="16"/>
      <c r="AI25" s="5"/>
      <c r="AJ25" s="16"/>
      <c r="AK25" s="5"/>
      <c r="AL25" s="16"/>
      <c r="AM25" s="5"/>
      <c r="AN25" s="16"/>
      <c r="AO25" s="5"/>
      <c r="AP25" s="16"/>
      <c r="AX25" s="70" t="s">
        <v>594</v>
      </c>
      <c r="AY25" s="76" t="s">
        <v>596</v>
      </c>
      <c r="AZ25" s="72" t="s">
        <v>598</v>
      </c>
      <c r="BC25" s="43" t="s">
        <v>340</v>
      </c>
      <c r="BD25" s="6">
        <f>IF(M42 &lt;&gt; "", VLOOKUP(CONCATENATE("P", M42), pointsSystem2, 2, FALSE), 0)</f>
        <v>0</v>
      </c>
      <c r="BE25" s="47">
        <f>IF(N42 &lt;&gt; "", VLOOKUP(CONCATENATE("P", N42), pointsSystem2, 3, FALSE), 0)</f>
        <v>0</v>
      </c>
      <c r="BF25" s="6">
        <f>IF(O42 &lt;&gt; "", VLOOKUP(CONCATENATE("P", O42), pointsSystem2, 2, FALSE), 0)</f>
        <v>0</v>
      </c>
      <c r="BG25" s="47">
        <f>IF(P42 &lt;&gt; "", VLOOKUP(CONCATENATE("P", P42), pointsSystem2, 3, FALSE), 0)</f>
        <v>0</v>
      </c>
      <c r="BH25" s="6">
        <f>IF(Q42 &lt;&gt; "", VLOOKUP(CONCATENATE("P", Q42), pointsSystem2, 2, FALSE), 0)</f>
        <v>0</v>
      </c>
      <c r="BI25" s="47">
        <f>IF(R42 &lt;&gt; "", VLOOKUP(CONCATENATE("P", R42), pointsSystem2, 3, FALSE), 0)</f>
        <v>0</v>
      </c>
      <c r="BJ25" s="6">
        <f>IF(S42 &lt;&gt; "", VLOOKUP(CONCATENATE("P", S42), pointsSystem2, 2, FALSE), 0)</f>
        <v>0</v>
      </c>
      <c r="BK25" s="47">
        <f>IF(T42 &lt;&gt; "", VLOOKUP(CONCATENATE("P", T42), pointsSystem2, 3, FALSE), 0)</f>
        <v>0</v>
      </c>
      <c r="BL25" s="6">
        <f>IF(U42 &lt;&gt; "", VLOOKUP(CONCATENATE("P", U42), pointsSystem2, 2, FALSE), 0)</f>
        <v>0</v>
      </c>
      <c r="BM25" s="47">
        <f>IF(V42 &lt;&gt; "", VLOOKUP(CONCATENATE("P", V42), pointsSystem2, 3, FALSE), 0)</f>
        <v>0</v>
      </c>
      <c r="BN25" s="6">
        <f>IF(W42 &lt;&gt; "", VLOOKUP(CONCATENATE("P", W42), pointsSystem2, 2, FALSE), 0)</f>
        <v>0</v>
      </c>
      <c r="BO25" s="47">
        <f>IF(X42 &lt;&gt; "", VLOOKUP(CONCATENATE("P", X42), pointsSystem2, 3, FALSE), 0)</f>
        <v>0</v>
      </c>
      <c r="BP25" s="6">
        <f>IF(Y42 &lt;&gt; "", VLOOKUP(CONCATENATE("P", Y42), pointsSystem2, 2, FALSE), 0)</f>
        <v>0</v>
      </c>
      <c r="BQ25" s="47">
        <f>IF(Z42 &lt;&gt; "", VLOOKUP(CONCATENATE("P", Z42), pointsSystem2, 3, FALSE), 0)</f>
        <v>0</v>
      </c>
      <c r="BR25" s="6">
        <f>IF(AA42 &lt;&gt; "", VLOOKUP(CONCATENATE("P", AA42), pointsSystem2, 2, FALSE), 0)</f>
        <v>0</v>
      </c>
      <c r="BS25" s="47">
        <f>IF(AB42 &lt;&gt; "", VLOOKUP(CONCATENATE("P", AB42), pointsSystem2, 3, FALSE), 0)</f>
        <v>0</v>
      </c>
      <c r="BT25" s="6">
        <f>IF(AC42 &lt;&gt; "", VLOOKUP(CONCATENATE("P", AC42), pointsSystem2, 2, FALSE), 0)</f>
        <v>0</v>
      </c>
      <c r="BU25" s="47">
        <f>IF(AD42 &lt;&gt; "", VLOOKUP(CONCATENATE("P", AD42), pointsSystem2, 3, FALSE), 0)</f>
        <v>0</v>
      </c>
      <c r="BV25" s="6">
        <f>IF(AE42 &lt;&gt; "", VLOOKUP(CONCATENATE("P", AE42), pointsSystem2, 2, FALSE), 0)</f>
        <v>0</v>
      </c>
      <c r="BW25" s="47">
        <f>IF(AF42 &lt;&gt; "", VLOOKUP(CONCATENATE("P", AF42), pointsSystem2, 3, FALSE), 0)</f>
        <v>0</v>
      </c>
      <c r="BX25" s="6">
        <f>IF(AG42 &lt;&gt; "", VLOOKUP(CONCATENATE("P", AG42), pointsSystem2, 2, FALSE), 0)</f>
        <v>0</v>
      </c>
      <c r="BY25" s="47">
        <f>IF(AH42 &lt;&gt; "", VLOOKUP(CONCATENATE("P", AH42), pointsSystem2, 3, FALSE), 0)</f>
        <v>0</v>
      </c>
      <c r="BZ25" s="6">
        <f>IF(AI42 &lt;&gt; "", VLOOKUP(CONCATENATE("P", AI42), pointsSystem2, 2, FALSE), 0)</f>
        <v>0</v>
      </c>
      <c r="CA25" s="47">
        <f>IF(AJ42 &lt;&gt; "", VLOOKUP(CONCATENATE("P", AJ42), pointsSystem2, 3, FALSE), 0)</f>
        <v>0</v>
      </c>
      <c r="CB25" s="6">
        <f>IF(AK42 &lt;&gt; "", VLOOKUP(CONCATENATE("P", AK42), pointsSystem2, 2, FALSE), 0)</f>
        <v>0</v>
      </c>
      <c r="CC25" s="47">
        <f>IF(AL42 &lt;&gt; "", VLOOKUP(CONCATENATE("P", AL42), pointsSystem2, 3, FALSE), 0)</f>
        <v>0</v>
      </c>
      <c r="CD25" s="6">
        <f>IF(AM42 &lt;&gt; "", VLOOKUP(CONCATENATE("P", AM42), pointsSystem2, 2, FALSE), 0)</f>
        <v>0</v>
      </c>
      <c r="CE25" s="47">
        <f>IF(AN42 &lt;&gt; "", VLOOKUP(CONCATENATE("P", AN42), pointsSystem2, 3, FALSE), 0)</f>
        <v>0</v>
      </c>
      <c r="CF25" s="6">
        <f>AO42 * 3</f>
        <v>0</v>
      </c>
      <c r="CG25" s="47">
        <f>AP42 * 1</f>
        <v>0</v>
      </c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</row>
    <row r="26" spans="2:155" ht="16.8" customHeight="1" thickBot="1" x14ac:dyDescent="0.35">
      <c r="B26" s="8" t="s">
        <v>55</v>
      </c>
      <c r="C26" s="42" t="s">
        <v>283</v>
      </c>
      <c r="D26" s="42" t="s">
        <v>678</v>
      </c>
      <c r="E26" s="42" t="s">
        <v>335</v>
      </c>
      <c r="F26" s="70" t="s">
        <v>34</v>
      </c>
      <c r="G26" s="75" t="s">
        <v>8</v>
      </c>
      <c r="H26" s="72" t="s">
        <v>12</v>
      </c>
      <c r="I26" s="11">
        <f>SUM(BD32:CG32)</f>
        <v>0</v>
      </c>
      <c r="L26" s="42" t="s">
        <v>678</v>
      </c>
      <c r="M26" s="5"/>
      <c r="N26" s="16"/>
      <c r="O26" s="5"/>
      <c r="P26" s="16"/>
      <c r="Q26" s="5"/>
      <c r="R26" s="16"/>
      <c r="S26" s="5"/>
      <c r="T26" s="16"/>
      <c r="U26" s="5"/>
      <c r="V26" s="16"/>
      <c r="W26" s="5"/>
      <c r="X26" s="16"/>
      <c r="Y26" s="5"/>
      <c r="Z26" s="16"/>
      <c r="AA26" s="5"/>
      <c r="AB26" s="16"/>
      <c r="AC26" s="5"/>
      <c r="AD26" s="16"/>
      <c r="AE26" s="5"/>
      <c r="AF26" s="16"/>
      <c r="AG26" s="5"/>
      <c r="AH26" s="16"/>
      <c r="AI26" s="5"/>
      <c r="AJ26" s="16"/>
      <c r="AK26" s="5"/>
      <c r="AL26" s="16"/>
      <c r="AM26" s="5"/>
      <c r="AN26" s="16"/>
      <c r="AO26" s="5"/>
      <c r="AP26" s="16"/>
      <c r="AX26" s="68" t="s">
        <v>593</v>
      </c>
      <c r="AY26" s="74" t="s">
        <v>125</v>
      </c>
      <c r="AZ26" s="72" t="s">
        <v>598</v>
      </c>
      <c r="BC26" s="63" t="s">
        <v>682</v>
      </c>
      <c r="BD26" s="6">
        <f>IF(M21 &lt;&gt; "", VLOOKUP(CONCATENATE("P", M21), pointsSystem2, 2, FALSE), 0)</f>
        <v>0</v>
      </c>
      <c r="BE26" s="47">
        <f>IF(N21 &lt;&gt; "", VLOOKUP(CONCATENATE("P", N21), pointsSystem2, 3, FALSE), 0)</f>
        <v>0</v>
      </c>
      <c r="BF26" s="6">
        <f>IF(O21 &lt;&gt; "", VLOOKUP(CONCATENATE("P", O21), pointsSystem2, 2, FALSE), 0)</f>
        <v>0</v>
      </c>
      <c r="BG26" s="47">
        <f>IF(P21 &lt;&gt; "", VLOOKUP(CONCATENATE("P", P21), pointsSystem2, 3, FALSE), 0)</f>
        <v>0</v>
      </c>
      <c r="BH26" s="6">
        <f>IF(Q21 &lt;&gt; "", VLOOKUP(CONCATENATE("P", Q21), pointsSystem2, 2, FALSE), 0)</f>
        <v>0</v>
      </c>
      <c r="BI26" s="47">
        <f>IF(R21 &lt;&gt; "", VLOOKUP(CONCATENATE("P", R21), pointsSystem2, 3, FALSE), 0)</f>
        <v>0</v>
      </c>
      <c r="BJ26" s="6">
        <f>IF(S21 &lt;&gt; "", VLOOKUP(CONCATENATE("P", S21), pointsSystem2, 2, FALSE), 0)</f>
        <v>0</v>
      </c>
      <c r="BK26" s="47">
        <f>IF(T21 &lt;&gt; "", VLOOKUP(CONCATENATE("P", T21), pointsSystem2, 3, FALSE), 0)</f>
        <v>0</v>
      </c>
      <c r="BL26" s="6">
        <f>IF(U21 &lt;&gt; "", VLOOKUP(CONCATENATE("P", U21), pointsSystem2, 2, FALSE), 0)</f>
        <v>0</v>
      </c>
      <c r="BM26" s="47">
        <f>IF(V21 &lt;&gt; "", VLOOKUP(CONCATENATE("P", V21), pointsSystem2, 3, FALSE), 0)</f>
        <v>0</v>
      </c>
      <c r="BN26" s="6">
        <f>IF(W21 &lt;&gt; "", VLOOKUP(CONCATENATE("P", W21), pointsSystem2, 2, FALSE), 0)</f>
        <v>0</v>
      </c>
      <c r="BO26" s="47">
        <f>IF(X21 &lt;&gt; "", VLOOKUP(CONCATENATE("P", X21), pointsSystem2, 3, FALSE), 0)</f>
        <v>0</v>
      </c>
      <c r="BP26" s="6">
        <f>IF(Y21 &lt;&gt; "", VLOOKUP(CONCATENATE("P", Y21), pointsSystem2, 2, FALSE), 0)</f>
        <v>0</v>
      </c>
      <c r="BQ26" s="47">
        <f>IF(Z21 &lt;&gt; "", VLOOKUP(CONCATENATE("P", Z21), pointsSystem2, 3, FALSE), 0)</f>
        <v>0</v>
      </c>
      <c r="BR26" s="6">
        <f>IF(AA21 &lt;&gt; "", VLOOKUP(CONCATENATE("P", AA21), pointsSystem2, 2, FALSE), 0)</f>
        <v>0</v>
      </c>
      <c r="BS26" s="47">
        <f>IF(AB21 &lt;&gt; "", VLOOKUP(CONCATENATE("P", AB21), pointsSystem2, 3, FALSE), 0)</f>
        <v>0</v>
      </c>
      <c r="BT26" s="6">
        <f>IF(AC21 &lt;&gt; "", VLOOKUP(CONCATENATE("P", AC21), pointsSystem2, 2, FALSE), 0)</f>
        <v>0</v>
      </c>
      <c r="BU26" s="47">
        <f>IF(AD21 &lt;&gt; "", VLOOKUP(CONCATENATE("P", AD21), pointsSystem2, 3, FALSE), 0)</f>
        <v>0</v>
      </c>
      <c r="BV26" s="6">
        <f>IF(AE21 &lt;&gt; "", VLOOKUP(CONCATENATE("P", AE21), pointsSystem2, 2, FALSE), 0)</f>
        <v>0</v>
      </c>
      <c r="BW26" s="47">
        <f>IF(AF21 &lt;&gt; "", VLOOKUP(CONCATENATE("P", AF21), pointsSystem2, 3, FALSE), 0)</f>
        <v>0</v>
      </c>
      <c r="BX26" s="6">
        <f>IF(AG21 &lt;&gt; "", VLOOKUP(CONCATENATE("P", AG21), pointsSystem2, 2, FALSE), 0)</f>
        <v>0</v>
      </c>
      <c r="BY26" s="47">
        <f>IF(AH21 &lt;&gt; "", VLOOKUP(CONCATENATE("P", AH21), pointsSystem2, 3, FALSE), 0)</f>
        <v>0</v>
      </c>
      <c r="BZ26" s="6">
        <f>IF(AI21 &lt;&gt; "", VLOOKUP(CONCATENATE("P", AI21), pointsSystem2, 2, FALSE), 0)</f>
        <v>0</v>
      </c>
      <c r="CA26" s="47">
        <f>IF(AJ21 &lt;&gt; "", VLOOKUP(CONCATENATE("P", AJ21), pointsSystem2, 3, FALSE), 0)</f>
        <v>0</v>
      </c>
      <c r="CB26" s="6">
        <f>IF(AK21 &lt;&gt; "", VLOOKUP(CONCATENATE("P", AK21), pointsSystem2, 2, FALSE), 0)</f>
        <v>0</v>
      </c>
      <c r="CC26" s="47">
        <f>IF(AL21 &lt;&gt; "", VLOOKUP(CONCATENATE("P", AL21), pointsSystem2, 3, FALSE), 0)</f>
        <v>0</v>
      </c>
      <c r="CD26" s="6">
        <f>IF(AM21 &lt;&gt; "", VLOOKUP(CONCATENATE("P", AM21), pointsSystem2, 2, FALSE), 0)</f>
        <v>0</v>
      </c>
      <c r="CE26" s="47">
        <f>IF(AN21 &lt;&gt; "", VLOOKUP(CONCATENATE("P", AN21), pointsSystem2, 3, FALSE), 0)</f>
        <v>0</v>
      </c>
      <c r="CF26" s="6">
        <f>AO21 * 3</f>
        <v>0</v>
      </c>
      <c r="CG26" s="47">
        <f>AP21 * 1</f>
        <v>0</v>
      </c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6"/>
      <c r="ES26" s="146"/>
      <c r="ET26" s="146"/>
      <c r="EU26" s="146"/>
    </row>
    <row r="27" spans="2:155" ht="16.8" customHeight="1" thickBot="1" x14ac:dyDescent="0.35">
      <c r="B27" s="8" t="s">
        <v>56</v>
      </c>
      <c r="C27" s="41" t="s">
        <v>291</v>
      </c>
      <c r="D27" s="41" t="s">
        <v>75</v>
      </c>
      <c r="E27" s="41" t="s">
        <v>554</v>
      </c>
      <c r="F27" s="72" t="s">
        <v>439</v>
      </c>
      <c r="G27" s="66" t="s">
        <v>7</v>
      </c>
      <c r="H27" s="78" t="s">
        <v>11</v>
      </c>
      <c r="I27" s="11">
        <f>SUM(BD34:CG34)</f>
        <v>0</v>
      </c>
      <c r="L27" s="41" t="s">
        <v>75</v>
      </c>
      <c r="M27" s="5"/>
      <c r="N27" s="16"/>
      <c r="O27" s="5"/>
      <c r="P27" s="16"/>
      <c r="Q27" s="5"/>
      <c r="R27" s="16"/>
      <c r="S27" s="5"/>
      <c r="T27" s="16"/>
      <c r="U27" s="5"/>
      <c r="V27" s="16"/>
      <c r="W27" s="5"/>
      <c r="X27" s="16"/>
      <c r="Y27" s="5"/>
      <c r="Z27" s="16"/>
      <c r="AA27" s="5"/>
      <c r="AB27" s="16"/>
      <c r="AC27" s="5"/>
      <c r="AD27" s="16"/>
      <c r="AE27" s="5"/>
      <c r="AF27" s="16"/>
      <c r="AG27" s="5"/>
      <c r="AH27" s="16"/>
      <c r="AI27" s="5"/>
      <c r="AJ27" s="16"/>
      <c r="AK27" s="5"/>
      <c r="AL27" s="16"/>
      <c r="AM27" s="5"/>
      <c r="AN27" s="16"/>
      <c r="AO27" s="5"/>
      <c r="AP27" s="16"/>
      <c r="AX27" s="68" t="s">
        <v>593</v>
      </c>
      <c r="AY27" s="74" t="s">
        <v>125</v>
      </c>
      <c r="AZ27" s="72" t="s">
        <v>598</v>
      </c>
      <c r="BC27" s="40" t="s">
        <v>683</v>
      </c>
      <c r="BD27" s="6">
        <f>IF(M22 &lt;&gt; "", VLOOKUP(CONCATENATE("P", M22), pointsSystem2, 2, FALSE), 0)</f>
        <v>0</v>
      </c>
      <c r="BE27" s="47">
        <f>IF(N22 &lt;&gt; "", VLOOKUP(CONCATENATE("P", N22), pointsSystem2, 3, FALSE), 0)</f>
        <v>0</v>
      </c>
      <c r="BF27" s="6">
        <f>IF(O22 &lt;&gt; "", VLOOKUP(CONCATENATE("P", O22), pointsSystem2, 2, FALSE), 0)</f>
        <v>0</v>
      </c>
      <c r="BG27" s="47">
        <f>IF(P22 &lt;&gt; "", VLOOKUP(CONCATENATE("P", P22), pointsSystem2, 3, FALSE), 0)</f>
        <v>0</v>
      </c>
      <c r="BH27" s="6">
        <f>IF(Q22 &lt;&gt; "", VLOOKUP(CONCATENATE("P", Q22), pointsSystem2, 2, FALSE), 0)</f>
        <v>0</v>
      </c>
      <c r="BI27" s="47">
        <f>IF(R22 &lt;&gt; "", VLOOKUP(CONCATENATE("P", R22), pointsSystem2, 3, FALSE), 0)</f>
        <v>0</v>
      </c>
      <c r="BJ27" s="6">
        <f>IF(S22 &lt;&gt; "", VLOOKUP(CONCATENATE("P", S22), pointsSystem2, 2, FALSE), 0)</f>
        <v>0</v>
      </c>
      <c r="BK27" s="47">
        <f>IF(T22 &lt;&gt; "", VLOOKUP(CONCATENATE("P", T22), pointsSystem2, 3, FALSE), 0)</f>
        <v>0</v>
      </c>
      <c r="BL27" s="6">
        <f>IF(U22 &lt;&gt; "", VLOOKUP(CONCATENATE("P", U22), pointsSystem2, 2, FALSE), 0)</f>
        <v>0</v>
      </c>
      <c r="BM27" s="47">
        <f>IF(V22 &lt;&gt; "", VLOOKUP(CONCATENATE("P", V22), pointsSystem2, 3, FALSE), 0)</f>
        <v>0</v>
      </c>
      <c r="BN27" s="6">
        <f>IF(W22 &lt;&gt; "", VLOOKUP(CONCATENATE("P", W22), pointsSystem2, 2, FALSE), 0)</f>
        <v>0</v>
      </c>
      <c r="BO27" s="47">
        <f>IF(X22 &lt;&gt; "", VLOOKUP(CONCATENATE("P", X22), pointsSystem2, 3, FALSE), 0)</f>
        <v>0</v>
      </c>
      <c r="BP27" s="6">
        <f>IF(Y22 &lt;&gt; "", VLOOKUP(CONCATENATE("P", Y22), pointsSystem2, 2, FALSE), 0)</f>
        <v>0</v>
      </c>
      <c r="BQ27" s="47">
        <f>IF(Z22 &lt;&gt; "", VLOOKUP(CONCATENATE("P", Z22), pointsSystem2, 3, FALSE), 0)</f>
        <v>0</v>
      </c>
      <c r="BR27" s="6">
        <f>IF(AA22 &lt;&gt; "", VLOOKUP(CONCATENATE("P", AA22), pointsSystem2, 2, FALSE), 0)</f>
        <v>0</v>
      </c>
      <c r="BS27" s="47">
        <f>IF(AB22 &lt;&gt; "", VLOOKUP(CONCATENATE("P", AB22), pointsSystem2, 3, FALSE), 0)</f>
        <v>0</v>
      </c>
      <c r="BT27" s="6">
        <f>IF(AC22 &lt;&gt; "", VLOOKUP(CONCATENATE("P", AC22), pointsSystem2, 2, FALSE), 0)</f>
        <v>0</v>
      </c>
      <c r="BU27" s="47">
        <f>IF(AD22 &lt;&gt; "", VLOOKUP(CONCATENATE("P", AD22), pointsSystem2, 3, FALSE), 0)</f>
        <v>0</v>
      </c>
      <c r="BV27" s="6">
        <f>IF(AE22 &lt;&gt; "", VLOOKUP(CONCATENATE("P", AE22), pointsSystem2, 2, FALSE), 0)</f>
        <v>0</v>
      </c>
      <c r="BW27" s="47">
        <f>IF(AF22 &lt;&gt; "", VLOOKUP(CONCATENATE("P", AF22), pointsSystem2, 3, FALSE), 0)</f>
        <v>0</v>
      </c>
      <c r="BX27" s="6">
        <f>IF(AG22 &lt;&gt; "", VLOOKUP(CONCATENATE("P", AG22), pointsSystem2, 2, FALSE), 0)</f>
        <v>0</v>
      </c>
      <c r="BY27" s="47">
        <f>IF(AH22 &lt;&gt; "", VLOOKUP(CONCATENATE("P", AH22), pointsSystem2, 3, FALSE), 0)</f>
        <v>0</v>
      </c>
      <c r="BZ27" s="6">
        <f>IF(AI22 &lt;&gt; "", VLOOKUP(CONCATENATE("P", AI22), pointsSystem2, 2, FALSE), 0)</f>
        <v>0</v>
      </c>
      <c r="CA27" s="47">
        <f>IF(AJ22 &lt;&gt; "", VLOOKUP(CONCATENATE("P", AJ22), pointsSystem2, 3, FALSE), 0)</f>
        <v>0</v>
      </c>
      <c r="CB27" s="6">
        <f>IF(AK22 &lt;&gt; "", VLOOKUP(CONCATENATE("P", AK22), pointsSystem2, 2, FALSE), 0)</f>
        <v>0</v>
      </c>
      <c r="CC27" s="47">
        <f>IF(AL22 &lt;&gt; "", VLOOKUP(CONCATENATE("P", AL22), pointsSystem2, 3, FALSE), 0)</f>
        <v>0</v>
      </c>
      <c r="CD27" s="6">
        <f>IF(AM22 &lt;&gt; "", VLOOKUP(CONCATENATE("P", AM22), pointsSystem2, 2, FALSE), 0)</f>
        <v>0</v>
      </c>
      <c r="CE27" s="47">
        <f>IF(AN22 &lt;&gt; "", VLOOKUP(CONCATENATE("P", AN22), pointsSystem2, 3, FALSE), 0)</f>
        <v>0</v>
      </c>
      <c r="CF27" s="6">
        <f>AO22 * 3</f>
        <v>0</v>
      </c>
      <c r="CG27" s="47">
        <f>AP22 * 1</f>
        <v>0</v>
      </c>
      <c r="DQ27" s="192" t="s">
        <v>3</v>
      </c>
      <c r="DR27" s="229" t="s">
        <v>358</v>
      </c>
      <c r="DS27" s="178"/>
      <c r="DT27" s="229" t="s">
        <v>359</v>
      </c>
      <c r="DU27" s="178"/>
      <c r="DV27" s="229" t="s">
        <v>613</v>
      </c>
      <c r="DW27" s="178"/>
      <c r="DX27" s="229" t="s">
        <v>360</v>
      </c>
      <c r="DY27" s="178"/>
      <c r="DZ27" s="229" t="s">
        <v>361</v>
      </c>
      <c r="EA27" s="178"/>
      <c r="EB27" s="229" t="s">
        <v>362</v>
      </c>
      <c r="EC27" s="178"/>
      <c r="ED27" s="229" t="s">
        <v>363</v>
      </c>
      <c r="EE27" s="178"/>
      <c r="EF27" s="229" t="s">
        <v>364</v>
      </c>
      <c r="EG27" s="178"/>
      <c r="EH27" s="229" t="s">
        <v>365</v>
      </c>
      <c r="EI27" s="178"/>
      <c r="EJ27" s="229" t="s">
        <v>366</v>
      </c>
      <c r="EK27" s="178"/>
      <c r="EL27" s="229" t="s">
        <v>367</v>
      </c>
      <c r="EM27" s="178"/>
      <c r="EN27" s="229" t="s">
        <v>425</v>
      </c>
      <c r="EO27" s="178"/>
      <c r="EP27" s="229" t="s">
        <v>426</v>
      </c>
      <c r="EQ27" s="178"/>
      <c r="ER27" s="229" t="s">
        <v>591</v>
      </c>
      <c r="ES27" s="178"/>
      <c r="ET27" s="229" t="s">
        <v>58</v>
      </c>
      <c r="EU27" s="178"/>
      <c r="EX27" s="192" t="s">
        <v>3</v>
      </c>
      <c r="EY27" s="202" t="s">
        <v>45</v>
      </c>
    </row>
    <row r="28" spans="2:155" ht="16.8" customHeight="1" thickBot="1" x14ac:dyDescent="0.35">
      <c r="B28" s="8" t="s">
        <v>57</v>
      </c>
      <c r="C28" s="41" t="s">
        <v>289</v>
      </c>
      <c r="D28" s="41" t="s">
        <v>71</v>
      </c>
      <c r="E28" s="41" t="s">
        <v>554</v>
      </c>
      <c r="F28" s="72" t="s">
        <v>439</v>
      </c>
      <c r="G28" s="66" t="s">
        <v>7</v>
      </c>
      <c r="H28" s="78" t="s">
        <v>11</v>
      </c>
      <c r="I28" s="11">
        <f>SUM(BD35:CG35)</f>
        <v>0</v>
      </c>
      <c r="L28" s="41" t="s">
        <v>71</v>
      </c>
      <c r="M28" s="5"/>
      <c r="N28" s="16"/>
      <c r="O28" s="5"/>
      <c r="P28" s="16"/>
      <c r="Q28" s="5"/>
      <c r="R28" s="16"/>
      <c r="S28" s="5"/>
      <c r="T28" s="16"/>
      <c r="U28" s="5"/>
      <c r="V28" s="16"/>
      <c r="W28" s="5"/>
      <c r="X28" s="16"/>
      <c r="Y28" s="5"/>
      <c r="Z28" s="16"/>
      <c r="AA28" s="5"/>
      <c r="AB28" s="16"/>
      <c r="AC28" s="5"/>
      <c r="AD28" s="16"/>
      <c r="AE28" s="5"/>
      <c r="AF28" s="16"/>
      <c r="AG28" s="5"/>
      <c r="AH28" s="16"/>
      <c r="AI28" s="5"/>
      <c r="AJ28" s="16"/>
      <c r="AK28" s="5"/>
      <c r="AL28" s="16"/>
      <c r="AM28" s="5"/>
      <c r="AN28" s="16"/>
      <c r="AO28" s="5"/>
      <c r="AP28" s="16"/>
      <c r="AX28" s="68" t="s">
        <v>593</v>
      </c>
      <c r="AY28" s="74" t="s">
        <v>125</v>
      </c>
      <c r="AZ28" s="72" t="s">
        <v>598</v>
      </c>
      <c r="BC28" s="40" t="s">
        <v>684</v>
      </c>
      <c r="BD28" s="6">
        <f>IF(M23 &lt;&gt; "", VLOOKUP(CONCATENATE("P", M23), pointsSystem2, 2, FALSE), 0)</f>
        <v>0</v>
      </c>
      <c r="BE28" s="47">
        <f>IF(N23 &lt;&gt; "", VLOOKUP(CONCATENATE("P", N23), pointsSystem2, 3, FALSE), 0)</f>
        <v>0</v>
      </c>
      <c r="BF28" s="6">
        <f>IF(O23 &lt;&gt; "", VLOOKUP(CONCATENATE("P", O23), pointsSystem2, 2, FALSE), 0)</f>
        <v>0</v>
      </c>
      <c r="BG28" s="47">
        <f>IF(P23 &lt;&gt; "", VLOOKUP(CONCATENATE("P", P23), pointsSystem2, 3, FALSE), 0)</f>
        <v>0</v>
      </c>
      <c r="BH28" s="6">
        <f>IF(Q23 &lt;&gt; "", VLOOKUP(CONCATENATE("P", Q23), pointsSystem2, 2, FALSE), 0)</f>
        <v>0</v>
      </c>
      <c r="BI28" s="47">
        <f>IF(R23 &lt;&gt; "", VLOOKUP(CONCATENATE("P", R23), pointsSystem2, 3, FALSE), 0)</f>
        <v>0</v>
      </c>
      <c r="BJ28" s="6">
        <f>IF(S23 &lt;&gt; "", VLOOKUP(CONCATENATE("P", S23), pointsSystem2, 2, FALSE), 0)</f>
        <v>0</v>
      </c>
      <c r="BK28" s="47">
        <f>IF(T23 &lt;&gt; "", VLOOKUP(CONCATENATE("P", T23), pointsSystem2, 3, FALSE), 0)</f>
        <v>0</v>
      </c>
      <c r="BL28" s="6">
        <f>IF(U23 &lt;&gt; "", VLOOKUP(CONCATENATE("P", U23), pointsSystem2, 2, FALSE), 0)</f>
        <v>0</v>
      </c>
      <c r="BM28" s="47">
        <f>IF(V23 &lt;&gt; "", VLOOKUP(CONCATENATE("P", V23), pointsSystem2, 3, FALSE), 0)</f>
        <v>0</v>
      </c>
      <c r="BN28" s="6">
        <f>IF(W23 &lt;&gt; "", VLOOKUP(CONCATENATE("P", W23), pointsSystem2, 2, FALSE), 0)</f>
        <v>0</v>
      </c>
      <c r="BO28" s="47">
        <f>IF(X23 &lt;&gt; "", VLOOKUP(CONCATENATE("P", X23), pointsSystem2, 3, FALSE), 0)</f>
        <v>0</v>
      </c>
      <c r="BP28" s="6">
        <f>IF(Y23 &lt;&gt; "", VLOOKUP(CONCATENATE("P", Y23), pointsSystem2, 2, FALSE), 0)</f>
        <v>0</v>
      </c>
      <c r="BQ28" s="47">
        <f>IF(Z23 &lt;&gt; "", VLOOKUP(CONCATENATE("P", Z23), pointsSystem2, 3, FALSE), 0)</f>
        <v>0</v>
      </c>
      <c r="BR28" s="6">
        <f>IF(AA23 &lt;&gt; "", VLOOKUP(CONCATENATE("P", AA23), pointsSystem2, 2, FALSE), 0)</f>
        <v>0</v>
      </c>
      <c r="BS28" s="47">
        <f>IF(AB23 &lt;&gt; "", VLOOKUP(CONCATENATE("P", AB23), pointsSystem2, 3, FALSE), 0)</f>
        <v>0</v>
      </c>
      <c r="BT28" s="6">
        <f>IF(AC23 &lt;&gt; "", VLOOKUP(CONCATENATE("P", AC23), pointsSystem2, 2, FALSE), 0)</f>
        <v>0</v>
      </c>
      <c r="BU28" s="47">
        <f>IF(AD23 &lt;&gt; "", VLOOKUP(CONCATENATE("P", AD23), pointsSystem2, 3, FALSE), 0)</f>
        <v>0</v>
      </c>
      <c r="BV28" s="6">
        <f>IF(AE23 &lt;&gt; "", VLOOKUP(CONCATENATE("P", AE23), pointsSystem2, 2, FALSE), 0)</f>
        <v>0</v>
      </c>
      <c r="BW28" s="47">
        <f>IF(AF23 &lt;&gt; "", VLOOKUP(CONCATENATE("P", AF23), pointsSystem2, 3, FALSE), 0)</f>
        <v>0</v>
      </c>
      <c r="BX28" s="6">
        <f>IF(AG23 &lt;&gt; "", VLOOKUP(CONCATENATE("P", AG23), pointsSystem2, 2, FALSE), 0)</f>
        <v>0</v>
      </c>
      <c r="BY28" s="47">
        <f>IF(AH23 &lt;&gt; "", VLOOKUP(CONCATENATE("P", AH23), pointsSystem2, 3, FALSE), 0)</f>
        <v>0</v>
      </c>
      <c r="BZ28" s="6">
        <f>IF(AI23 &lt;&gt; "", VLOOKUP(CONCATENATE("P", AI23), pointsSystem2, 2, FALSE), 0)</f>
        <v>0</v>
      </c>
      <c r="CA28" s="47">
        <f>IF(AJ23 &lt;&gt; "", VLOOKUP(CONCATENATE("P", AJ23), pointsSystem2, 3, FALSE), 0)</f>
        <v>0</v>
      </c>
      <c r="CB28" s="6">
        <f>IF(AK23 &lt;&gt; "", VLOOKUP(CONCATENATE("P", AK23), pointsSystem2, 2, FALSE), 0)</f>
        <v>0</v>
      </c>
      <c r="CC28" s="47">
        <f>IF(AL23 &lt;&gt; "", VLOOKUP(CONCATENATE("P", AL23), pointsSystem2, 3, FALSE), 0)</f>
        <v>0</v>
      </c>
      <c r="CD28" s="6">
        <f>IF(AM23 &lt;&gt; "", VLOOKUP(CONCATENATE("P", AM23), pointsSystem2, 2, FALSE), 0)</f>
        <v>0</v>
      </c>
      <c r="CE28" s="47">
        <f>IF(AN23 &lt;&gt; "", VLOOKUP(CONCATENATE("P", AN23), pointsSystem2, 3, FALSE), 0)</f>
        <v>0</v>
      </c>
      <c r="CF28" s="6">
        <f>AO23 * 3</f>
        <v>0</v>
      </c>
      <c r="CG28" s="47">
        <f>AP23 * 1</f>
        <v>0</v>
      </c>
      <c r="DQ28" s="192"/>
      <c r="DR28" s="33" t="s">
        <v>17</v>
      </c>
      <c r="DS28" s="34" t="s">
        <v>18</v>
      </c>
      <c r="DT28" s="33" t="s">
        <v>17</v>
      </c>
      <c r="DU28" s="34" t="s">
        <v>18</v>
      </c>
      <c r="DV28" s="33" t="s">
        <v>17</v>
      </c>
      <c r="DW28" s="34" t="s">
        <v>18</v>
      </c>
      <c r="DX28" s="33" t="s">
        <v>17</v>
      </c>
      <c r="DY28" s="34" t="s">
        <v>18</v>
      </c>
      <c r="DZ28" s="33" t="s">
        <v>17</v>
      </c>
      <c r="EA28" s="34" t="s">
        <v>18</v>
      </c>
      <c r="EB28" s="33" t="s">
        <v>17</v>
      </c>
      <c r="EC28" s="34" t="s">
        <v>18</v>
      </c>
      <c r="ED28" s="33" t="s">
        <v>17</v>
      </c>
      <c r="EE28" s="34" t="s">
        <v>18</v>
      </c>
      <c r="EF28" s="33" t="s">
        <v>17</v>
      </c>
      <c r="EG28" s="34" t="s">
        <v>18</v>
      </c>
      <c r="EH28" s="33" t="s">
        <v>17</v>
      </c>
      <c r="EI28" s="34" t="s">
        <v>18</v>
      </c>
      <c r="EJ28" s="33" t="s">
        <v>17</v>
      </c>
      <c r="EK28" s="34" t="s">
        <v>18</v>
      </c>
      <c r="EL28" s="33" t="s">
        <v>17</v>
      </c>
      <c r="EM28" s="34" t="s">
        <v>18</v>
      </c>
      <c r="EN28" s="33" t="s">
        <v>17</v>
      </c>
      <c r="EO28" s="34" t="s">
        <v>18</v>
      </c>
      <c r="EP28" s="33" t="s">
        <v>17</v>
      </c>
      <c r="EQ28" s="34" t="s">
        <v>18</v>
      </c>
      <c r="ER28" s="33" t="s">
        <v>17</v>
      </c>
      <c r="ES28" s="34" t="s">
        <v>18</v>
      </c>
      <c r="ET28" s="33" t="s">
        <v>17</v>
      </c>
      <c r="EU28" s="34" t="s">
        <v>18</v>
      </c>
      <c r="EX28" s="192"/>
      <c r="EY28" s="192"/>
    </row>
    <row r="29" spans="2:155" ht="16.8" customHeight="1" thickBot="1" x14ac:dyDescent="0.35">
      <c r="B29" s="8" t="s">
        <v>315</v>
      </c>
      <c r="C29" s="41" t="s">
        <v>288</v>
      </c>
      <c r="D29" s="41" t="s">
        <v>79</v>
      </c>
      <c r="E29" s="41" t="s">
        <v>554</v>
      </c>
      <c r="F29" s="72" t="s">
        <v>439</v>
      </c>
      <c r="G29" s="66" t="s">
        <v>7</v>
      </c>
      <c r="H29" s="78" t="s">
        <v>11</v>
      </c>
      <c r="I29" s="11">
        <f>SUM(BD36:CG36)</f>
        <v>0</v>
      </c>
      <c r="L29" s="41" t="s">
        <v>79</v>
      </c>
      <c r="M29" s="5"/>
      <c r="N29" s="16"/>
      <c r="O29" s="5"/>
      <c r="P29" s="16"/>
      <c r="Q29" s="5"/>
      <c r="R29" s="16"/>
      <c r="S29" s="5"/>
      <c r="T29" s="16"/>
      <c r="U29" s="5"/>
      <c r="V29" s="16"/>
      <c r="W29" s="5"/>
      <c r="X29" s="16"/>
      <c r="Y29" s="5"/>
      <c r="Z29" s="16"/>
      <c r="AA29" s="5"/>
      <c r="AB29" s="16"/>
      <c r="AC29" s="5"/>
      <c r="AD29" s="16"/>
      <c r="AE29" s="5"/>
      <c r="AF29" s="16"/>
      <c r="AG29" s="5"/>
      <c r="AH29" s="16"/>
      <c r="AI29" s="5"/>
      <c r="AJ29" s="16"/>
      <c r="AK29" s="5"/>
      <c r="AL29" s="16"/>
      <c r="AM29" s="5"/>
      <c r="AN29" s="16"/>
      <c r="AO29" s="5"/>
      <c r="AP29" s="16"/>
      <c r="AX29" s="68" t="s">
        <v>593</v>
      </c>
      <c r="AY29" s="74" t="s">
        <v>125</v>
      </c>
      <c r="AZ29" s="72" t="s">
        <v>598</v>
      </c>
      <c r="BC29" s="40" t="s">
        <v>340</v>
      </c>
      <c r="BD29" s="6">
        <f>IF(M43 &lt;&gt; "", VLOOKUP(CONCATENATE("P", M43), pointsSystem2, 2, FALSE), 0)</f>
        <v>0</v>
      </c>
      <c r="BE29" s="47">
        <f>IF(N43 &lt;&gt; "", VLOOKUP(CONCATENATE("P", N43), pointsSystem2, 3, FALSE), 0)</f>
        <v>0</v>
      </c>
      <c r="BF29" s="6">
        <f>IF(O43 &lt;&gt; "", VLOOKUP(CONCATENATE("P", O43), pointsSystem2, 2, FALSE), 0)</f>
        <v>0</v>
      </c>
      <c r="BG29" s="47">
        <f>IF(P43 &lt;&gt; "", VLOOKUP(CONCATENATE("P", P43), pointsSystem2, 3, FALSE), 0)</f>
        <v>0</v>
      </c>
      <c r="BH29" s="6">
        <f>IF(Q43 &lt;&gt; "", VLOOKUP(CONCATENATE("P", Q43), pointsSystem2, 2, FALSE), 0)</f>
        <v>0</v>
      </c>
      <c r="BI29" s="47">
        <f>IF(R43 &lt;&gt; "", VLOOKUP(CONCATENATE("P", R43), pointsSystem2, 3, FALSE), 0)</f>
        <v>0</v>
      </c>
      <c r="BJ29" s="6">
        <f>IF(S43 &lt;&gt; "", VLOOKUP(CONCATENATE("P", S43), pointsSystem2, 2, FALSE), 0)</f>
        <v>0</v>
      </c>
      <c r="BK29" s="47">
        <f>IF(T43 &lt;&gt; "", VLOOKUP(CONCATENATE("P", T43), pointsSystem2, 3, FALSE), 0)</f>
        <v>0</v>
      </c>
      <c r="BL29" s="6">
        <f>IF(U43 &lt;&gt; "", VLOOKUP(CONCATENATE("P", U43), pointsSystem2, 2, FALSE), 0)</f>
        <v>0</v>
      </c>
      <c r="BM29" s="47">
        <f>IF(V43 &lt;&gt; "", VLOOKUP(CONCATENATE("P", V43), pointsSystem2, 3, FALSE), 0)</f>
        <v>0</v>
      </c>
      <c r="BN29" s="6">
        <f>IF(W43 &lt;&gt; "", VLOOKUP(CONCATENATE("P", W43), pointsSystem2, 2, FALSE), 0)</f>
        <v>0</v>
      </c>
      <c r="BO29" s="47">
        <f>IF(X43 &lt;&gt; "", VLOOKUP(CONCATENATE("P", X43), pointsSystem2, 3, FALSE), 0)</f>
        <v>0</v>
      </c>
      <c r="BP29" s="6">
        <f>IF(Y43 &lt;&gt; "", VLOOKUP(CONCATENATE("P", Y43), pointsSystem2, 2, FALSE), 0)</f>
        <v>0</v>
      </c>
      <c r="BQ29" s="47">
        <f>IF(Z43 &lt;&gt; "", VLOOKUP(CONCATENATE("P", Z43), pointsSystem2, 3, FALSE), 0)</f>
        <v>0</v>
      </c>
      <c r="BR29" s="6">
        <f>IF(AA43 &lt;&gt; "", VLOOKUP(CONCATENATE("P", AA43), pointsSystem2, 2, FALSE), 0)</f>
        <v>0</v>
      </c>
      <c r="BS29" s="47">
        <f>IF(AB43 &lt;&gt; "", VLOOKUP(CONCATENATE("P", AB43), pointsSystem2, 3, FALSE), 0)</f>
        <v>0</v>
      </c>
      <c r="BT29" s="6">
        <f>IF(AC43 &lt;&gt; "", VLOOKUP(CONCATENATE("P", AC43), pointsSystem2, 2, FALSE), 0)</f>
        <v>0</v>
      </c>
      <c r="BU29" s="47">
        <f>IF(AD43 &lt;&gt; "", VLOOKUP(CONCATENATE("P", AD43), pointsSystem2, 3, FALSE), 0)</f>
        <v>0</v>
      </c>
      <c r="BV29" s="6">
        <f>IF(AE43 &lt;&gt; "", VLOOKUP(CONCATENATE("P", AE43), pointsSystem2, 2, FALSE), 0)</f>
        <v>0</v>
      </c>
      <c r="BW29" s="47">
        <f>IF(AF43 &lt;&gt; "", VLOOKUP(CONCATENATE("P", AF43), pointsSystem2, 3, FALSE), 0)</f>
        <v>0</v>
      </c>
      <c r="BX29" s="6">
        <f>IF(AG43 &lt;&gt; "", VLOOKUP(CONCATENATE("P", AG43), pointsSystem2, 2, FALSE), 0)</f>
        <v>0</v>
      </c>
      <c r="BY29" s="47">
        <f>IF(AH43 &lt;&gt; "", VLOOKUP(CONCATENATE("P", AH43), pointsSystem2, 3, FALSE), 0)</f>
        <v>0</v>
      </c>
      <c r="BZ29" s="6">
        <f>IF(AI43 &lt;&gt; "", VLOOKUP(CONCATENATE("P", AI43), pointsSystem2, 2, FALSE), 0)</f>
        <v>0</v>
      </c>
      <c r="CA29" s="47">
        <f>IF(AJ43 &lt;&gt; "", VLOOKUP(CONCATENATE("P", AJ43), pointsSystem2, 3, FALSE), 0)</f>
        <v>0</v>
      </c>
      <c r="CB29" s="6">
        <f>IF(AK43 &lt;&gt; "", VLOOKUP(CONCATENATE("P", AK43), pointsSystem2, 2, FALSE), 0)</f>
        <v>0</v>
      </c>
      <c r="CC29" s="47">
        <f>IF(AL43 &lt;&gt; "", VLOOKUP(CONCATENATE("P", AL43), pointsSystem2, 3, FALSE), 0)</f>
        <v>0</v>
      </c>
      <c r="CD29" s="6">
        <f>IF(AM43 &lt;&gt; "", VLOOKUP(CONCATENATE("P", AM43), pointsSystem2, 2, FALSE), 0)</f>
        <v>0</v>
      </c>
      <c r="CE29" s="47">
        <f>IF(AN43 &lt;&gt; "", VLOOKUP(CONCATENATE("P", AN43), pointsSystem2, 3, FALSE), 0)</f>
        <v>0</v>
      </c>
      <c r="CF29" s="6">
        <f>AO43 * 3</f>
        <v>0</v>
      </c>
      <c r="CG29" s="47">
        <f>AP43 * 1</f>
        <v>0</v>
      </c>
      <c r="DQ29" s="232" t="s">
        <v>11</v>
      </c>
      <c r="DR29" s="6">
        <f>MAX(BD14:BD17, BD34:BD37, BD42:BD45)</f>
        <v>0</v>
      </c>
      <c r="DS29" s="47">
        <f t="shared" ref="DS29:ES29" si="19">MAX(BE14:BE17, BE34:BE37, BE42:BE45)</f>
        <v>0</v>
      </c>
      <c r="DT29" s="6">
        <f t="shared" si="19"/>
        <v>0</v>
      </c>
      <c r="DU29" s="47">
        <f t="shared" si="19"/>
        <v>0</v>
      </c>
      <c r="DV29" s="6">
        <f t="shared" si="19"/>
        <v>0</v>
      </c>
      <c r="DW29" s="47">
        <f t="shared" si="19"/>
        <v>0</v>
      </c>
      <c r="DX29" s="6">
        <f t="shared" si="19"/>
        <v>0</v>
      </c>
      <c r="DY29" s="47">
        <f t="shared" si="19"/>
        <v>0</v>
      </c>
      <c r="DZ29" s="6">
        <f t="shared" si="19"/>
        <v>0</v>
      </c>
      <c r="EA29" s="47">
        <f t="shared" si="19"/>
        <v>0</v>
      </c>
      <c r="EB29" s="6">
        <f t="shared" si="19"/>
        <v>0</v>
      </c>
      <c r="EC29" s="47">
        <f t="shared" si="19"/>
        <v>0</v>
      </c>
      <c r="ED29" s="6">
        <f t="shared" si="19"/>
        <v>0</v>
      </c>
      <c r="EE29" s="47">
        <f t="shared" si="19"/>
        <v>0</v>
      </c>
      <c r="EF29" s="6">
        <f t="shared" si="19"/>
        <v>0</v>
      </c>
      <c r="EG29" s="47">
        <f t="shared" si="19"/>
        <v>0</v>
      </c>
      <c r="EH29" s="6">
        <f t="shared" si="19"/>
        <v>0</v>
      </c>
      <c r="EI29" s="47">
        <f t="shared" si="19"/>
        <v>0</v>
      </c>
      <c r="EJ29" s="6">
        <f t="shared" si="19"/>
        <v>0</v>
      </c>
      <c r="EK29" s="47">
        <f t="shared" si="19"/>
        <v>0</v>
      </c>
      <c r="EL29" s="6">
        <f t="shared" si="19"/>
        <v>0</v>
      </c>
      <c r="EM29" s="47">
        <f t="shared" si="19"/>
        <v>0</v>
      </c>
      <c r="EN29" s="6">
        <f t="shared" si="19"/>
        <v>0</v>
      </c>
      <c r="EO29" s="47">
        <f t="shared" si="19"/>
        <v>0</v>
      </c>
      <c r="EP29" s="6">
        <f t="shared" si="19"/>
        <v>0</v>
      </c>
      <c r="EQ29" s="47">
        <f t="shared" si="19"/>
        <v>0</v>
      </c>
      <c r="ER29" s="6">
        <f t="shared" si="19"/>
        <v>0</v>
      </c>
      <c r="ES29" s="47">
        <f t="shared" si="19"/>
        <v>0</v>
      </c>
      <c r="ET29" s="247">
        <f>SUM(CF14:CF17, CF34:CF37, CF42:CF45)</f>
        <v>0</v>
      </c>
      <c r="EU29" s="253">
        <f t="shared" ref="EU29" si="20">SUM(CG14:CG17, CG34:CG37, CG42:CG45)</f>
        <v>0</v>
      </c>
      <c r="EX29" s="232" t="s">
        <v>11</v>
      </c>
      <c r="EY29" s="192">
        <f>SUM(DR29:EU30)</f>
        <v>0</v>
      </c>
    </row>
    <row r="30" spans="2:155" ht="16.8" customHeight="1" thickBot="1" x14ac:dyDescent="0.35">
      <c r="B30" s="8" t="s">
        <v>316</v>
      </c>
      <c r="C30" s="66" t="s">
        <v>328</v>
      </c>
      <c r="D30" s="66" t="s">
        <v>679</v>
      </c>
      <c r="E30" s="66" t="s">
        <v>339</v>
      </c>
      <c r="F30" s="71" t="s">
        <v>6</v>
      </c>
      <c r="G30" s="76" t="s">
        <v>10</v>
      </c>
      <c r="H30" s="72" t="s">
        <v>12</v>
      </c>
      <c r="I30" s="11">
        <f>SUM(BD38:CG38)</f>
        <v>0</v>
      </c>
      <c r="L30" s="66" t="s">
        <v>679</v>
      </c>
      <c r="M30" s="5"/>
      <c r="N30" s="16"/>
      <c r="O30" s="5"/>
      <c r="P30" s="16"/>
      <c r="Q30" s="5"/>
      <c r="R30" s="16"/>
      <c r="S30" s="5"/>
      <c r="T30" s="16"/>
      <c r="U30" s="5"/>
      <c r="V30" s="16"/>
      <c r="W30" s="5"/>
      <c r="X30" s="16"/>
      <c r="Y30" s="5"/>
      <c r="Z30" s="16"/>
      <c r="AA30" s="5"/>
      <c r="AB30" s="16"/>
      <c r="AC30" s="5"/>
      <c r="AD30" s="16"/>
      <c r="AE30" s="5"/>
      <c r="AF30" s="16"/>
      <c r="AG30" s="5"/>
      <c r="AH30" s="16"/>
      <c r="AI30" s="5"/>
      <c r="AJ30" s="16"/>
      <c r="AK30" s="5"/>
      <c r="AL30" s="16"/>
      <c r="AM30" s="5"/>
      <c r="AN30" s="16"/>
      <c r="AO30" s="5"/>
      <c r="AP30" s="16"/>
      <c r="AX30" s="70" t="s">
        <v>594</v>
      </c>
      <c r="AY30" s="75" t="s">
        <v>597</v>
      </c>
      <c r="AZ30" s="72" t="s">
        <v>598</v>
      </c>
      <c r="BC30" s="42" t="s">
        <v>73</v>
      </c>
      <c r="BD30" s="6">
        <f>IF(M24 &lt;&gt; "", VLOOKUP(CONCATENATE("P", M24), pointsSystem2, 2, FALSE), 0)</f>
        <v>0</v>
      </c>
      <c r="BE30" s="47">
        <f>IF(N24 &lt;&gt; "", VLOOKUP(CONCATENATE("P", N24), pointsSystem2, 3, FALSE), 0)</f>
        <v>0</v>
      </c>
      <c r="BF30" s="6">
        <f>IF(O24 &lt;&gt; "", VLOOKUP(CONCATENATE("P", O24), pointsSystem2, 2, FALSE), 0)</f>
        <v>0</v>
      </c>
      <c r="BG30" s="47">
        <f>IF(P24 &lt;&gt; "", VLOOKUP(CONCATENATE("P", P24), pointsSystem2, 3, FALSE), 0)</f>
        <v>0</v>
      </c>
      <c r="BH30" s="6">
        <f>IF(Q24 &lt;&gt; "", VLOOKUP(CONCATENATE("P", Q24), pointsSystem2, 2, FALSE), 0)</f>
        <v>0</v>
      </c>
      <c r="BI30" s="47">
        <f>IF(R24 &lt;&gt; "", VLOOKUP(CONCATENATE("P", R24), pointsSystem2, 3, FALSE), 0)</f>
        <v>0</v>
      </c>
      <c r="BJ30" s="6">
        <f>IF(S24 &lt;&gt; "", VLOOKUP(CONCATENATE("P", S24), pointsSystem2, 2, FALSE), 0)</f>
        <v>0</v>
      </c>
      <c r="BK30" s="47">
        <f>IF(T24 &lt;&gt; "", VLOOKUP(CONCATENATE("P", T24), pointsSystem2, 3, FALSE), 0)</f>
        <v>0</v>
      </c>
      <c r="BL30" s="6">
        <f>IF(U24 &lt;&gt; "", VLOOKUP(CONCATENATE("P", U24), pointsSystem2, 2, FALSE), 0)</f>
        <v>0</v>
      </c>
      <c r="BM30" s="47">
        <f>IF(V24 &lt;&gt; "", VLOOKUP(CONCATENATE("P", V24), pointsSystem2, 3, FALSE), 0)</f>
        <v>0</v>
      </c>
      <c r="BN30" s="6">
        <f>IF(W24 &lt;&gt; "", VLOOKUP(CONCATENATE("P", W24), pointsSystem2, 2, FALSE), 0)</f>
        <v>0</v>
      </c>
      <c r="BO30" s="47">
        <f>IF(X24 &lt;&gt; "", VLOOKUP(CONCATENATE("P", X24), pointsSystem2, 3, FALSE), 0)</f>
        <v>0</v>
      </c>
      <c r="BP30" s="6">
        <f>IF(Y24 &lt;&gt; "", VLOOKUP(CONCATENATE("P", Y24), pointsSystem2, 2, FALSE), 0)</f>
        <v>0</v>
      </c>
      <c r="BQ30" s="47">
        <f>IF(Z24 &lt;&gt; "", VLOOKUP(CONCATENATE("P", Z24), pointsSystem2, 3, FALSE), 0)</f>
        <v>0</v>
      </c>
      <c r="BR30" s="6">
        <f>IF(AA24 &lt;&gt; "", VLOOKUP(CONCATENATE("P", AA24), pointsSystem2, 2, FALSE), 0)</f>
        <v>0</v>
      </c>
      <c r="BS30" s="47">
        <f>IF(AB24 &lt;&gt; "", VLOOKUP(CONCATENATE("P", AB24), pointsSystem2, 3, FALSE), 0)</f>
        <v>0</v>
      </c>
      <c r="BT30" s="6">
        <f>IF(AC24 &lt;&gt; "", VLOOKUP(CONCATENATE("P", AC24), pointsSystem2, 2, FALSE), 0)</f>
        <v>0</v>
      </c>
      <c r="BU30" s="47">
        <f>IF(AD24 &lt;&gt; "", VLOOKUP(CONCATENATE("P", AD24), pointsSystem2, 3, FALSE), 0)</f>
        <v>0</v>
      </c>
      <c r="BV30" s="6">
        <f>IF(AE24 &lt;&gt; "", VLOOKUP(CONCATENATE("P", AE24), pointsSystem2, 2, FALSE), 0)</f>
        <v>0</v>
      </c>
      <c r="BW30" s="47">
        <f>IF(AF24 &lt;&gt; "", VLOOKUP(CONCATENATE("P", AF24), pointsSystem2, 3, FALSE), 0)</f>
        <v>0</v>
      </c>
      <c r="BX30" s="6">
        <f>IF(AG24 &lt;&gt; "", VLOOKUP(CONCATENATE("P", AG24), pointsSystem2, 2, FALSE), 0)</f>
        <v>0</v>
      </c>
      <c r="BY30" s="47">
        <f>IF(AH24 &lt;&gt; "", VLOOKUP(CONCATENATE("P", AH24), pointsSystem2, 3, FALSE), 0)</f>
        <v>0</v>
      </c>
      <c r="BZ30" s="6">
        <f>IF(AI24 &lt;&gt; "", VLOOKUP(CONCATENATE("P", AI24), pointsSystem2, 2, FALSE), 0)</f>
        <v>0</v>
      </c>
      <c r="CA30" s="47">
        <f>IF(AJ24 &lt;&gt; "", VLOOKUP(CONCATENATE("P", AJ24), pointsSystem2, 3, FALSE), 0)</f>
        <v>0</v>
      </c>
      <c r="CB30" s="6">
        <f>IF(AK24 &lt;&gt; "", VLOOKUP(CONCATENATE("P", AK24), pointsSystem2, 2, FALSE), 0)</f>
        <v>0</v>
      </c>
      <c r="CC30" s="47">
        <f>IF(AL24 &lt;&gt; "", VLOOKUP(CONCATENATE("P", AL24), pointsSystem2, 3, FALSE), 0)</f>
        <v>0</v>
      </c>
      <c r="CD30" s="6">
        <f>IF(AM24 &lt;&gt; "", VLOOKUP(CONCATENATE("P", AM24), pointsSystem2, 2, FALSE), 0)</f>
        <v>0</v>
      </c>
      <c r="CE30" s="47">
        <f>IF(AN24 &lt;&gt; "", VLOOKUP(CONCATENATE("P", AN24), pointsSystem2, 3, FALSE), 0)</f>
        <v>0</v>
      </c>
      <c r="CF30" s="6">
        <f>AO24 * 3</f>
        <v>0</v>
      </c>
      <c r="CG30" s="47">
        <f>AP24 * 1</f>
        <v>0</v>
      </c>
      <c r="DQ30" s="232"/>
      <c r="DR30" s="6">
        <f>LARGE((BD14:BD17, BD34:BD37, BD42:BD45), 2)</f>
        <v>0</v>
      </c>
      <c r="DS30" s="47">
        <f>LARGE((BE14:BE17, BE34:BE37, BE42:BE45), 2)</f>
        <v>0</v>
      </c>
      <c r="DT30" s="6">
        <f>LARGE((BF14:BF17, BF34:BF37, BF42:BF45), 2)</f>
        <v>0</v>
      </c>
      <c r="DU30" s="47">
        <f>LARGE((BG14:BG17, BG34:BG37, BG42:BG45), 2)</f>
        <v>0</v>
      </c>
      <c r="DV30" s="6">
        <f>LARGE((BH14:BH17, BH34:BH37, BH42:BH45), 2)</f>
        <v>0</v>
      </c>
      <c r="DW30" s="47">
        <f>LARGE((BI14:BI17, BI34:BI37, BI42:BI45), 2)</f>
        <v>0</v>
      </c>
      <c r="DX30" s="6">
        <f>LARGE((BJ14:BJ17, BJ34:BJ37, BJ42:BJ45), 2)</f>
        <v>0</v>
      </c>
      <c r="DY30" s="47">
        <f>LARGE((BK14:BK17, BK34:BK37, BK42:BK45), 2)</f>
        <v>0</v>
      </c>
      <c r="DZ30" s="6">
        <f>LARGE((BL14:BL17, BL34:BL37, BL42:BL45), 2)</f>
        <v>0</v>
      </c>
      <c r="EA30" s="47">
        <f>LARGE((BM14:BM17, BM34:BM37, BM42:BM45), 2)</f>
        <v>0</v>
      </c>
      <c r="EB30" s="6">
        <f>LARGE((BN14:BN17, BN34:BN37, BN42:BN45), 2)</f>
        <v>0</v>
      </c>
      <c r="EC30" s="47">
        <f>LARGE((BO14:BO17, BO34:BO37, BO42:BO45), 2)</f>
        <v>0</v>
      </c>
      <c r="ED30" s="6">
        <f>LARGE((BP14:BP17, BP34:BP37, BP42:BP45), 2)</f>
        <v>0</v>
      </c>
      <c r="EE30" s="47">
        <f>LARGE((BQ14:BQ17, BQ34:BQ37, BQ42:BQ45), 2)</f>
        <v>0</v>
      </c>
      <c r="EF30" s="6">
        <f>LARGE((BR14:BR17, BR34:BR37, BR42:BR45), 2)</f>
        <v>0</v>
      </c>
      <c r="EG30" s="47">
        <f>LARGE((BS14:BS17, BS34:BS37, BS42:BS45), 2)</f>
        <v>0</v>
      </c>
      <c r="EH30" s="6">
        <f>LARGE((BT14:BT17, BT34:BT37, BT42:BT45), 2)</f>
        <v>0</v>
      </c>
      <c r="EI30" s="47">
        <f>LARGE((BU14:BU17, BU34:BU37, BU42:BU45), 2)</f>
        <v>0</v>
      </c>
      <c r="EJ30" s="6">
        <f>LARGE((BV14:BV17, BV34:BV37, BV42:BV45), 2)</f>
        <v>0</v>
      </c>
      <c r="EK30" s="47">
        <f>LARGE((BW14:BW17, BW34:BW37, BW42:BW45), 2)</f>
        <v>0</v>
      </c>
      <c r="EL30" s="6">
        <f>LARGE((BX14:BX17, BX34:BX37, BX42:BX45), 2)</f>
        <v>0</v>
      </c>
      <c r="EM30" s="47">
        <f>LARGE((BY14:BY17, BY34:BY37, BY42:BY45), 2)</f>
        <v>0</v>
      </c>
      <c r="EN30" s="6">
        <f>LARGE((BZ14:BZ17, BZ34:BZ37, BZ42:BZ45), 2)</f>
        <v>0</v>
      </c>
      <c r="EO30" s="47">
        <f>LARGE((CA14:CA17, CA34:CA37, CA42:CA45), 2)</f>
        <v>0</v>
      </c>
      <c r="EP30" s="6">
        <f>LARGE((CB14:CB17, CB34:CB37, CB42:CB45), 2)</f>
        <v>0</v>
      </c>
      <c r="EQ30" s="47">
        <f>LARGE((CC14:CC17, CC34:CC37, CC42:CC45), 2)</f>
        <v>0</v>
      </c>
      <c r="ER30" s="6">
        <f>LARGE((CD14:CD17, CD34:CD37, CD42:CD45), 2)</f>
        <v>0</v>
      </c>
      <c r="ES30" s="47">
        <f>LARGE((CE14:CE17, CE34:CE37, CE42:CE45), 2)</f>
        <v>0</v>
      </c>
      <c r="ET30" s="248"/>
      <c r="EU30" s="254"/>
      <c r="EX30" s="232"/>
      <c r="EY30" s="192"/>
    </row>
    <row r="31" spans="2:155" ht="16.8" customHeight="1" thickBot="1" x14ac:dyDescent="0.35">
      <c r="B31" s="8" t="s">
        <v>317</v>
      </c>
      <c r="C31" s="149" t="s">
        <v>227</v>
      </c>
      <c r="D31" s="149" t="s">
        <v>680</v>
      </c>
      <c r="E31" s="149" t="s">
        <v>339</v>
      </c>
      <c r="F31" s="71" t="s">
        <v>6</v>
      </c>
      <c r="G31" s="76" t="s">
        <v>10</v>
      </c>
      <c r="H31" s="72" t="s">
        <v>12</v>
      </c>
      <c r="I31" s="11">
        <f>SUM(BD39:CG39)</f>
        <v>0</v>
      </c>
      <c r="L31" s="149" t="s">
        <v>680</v>
      </c>
      <c r="M31" s="5"/>
      <c r="N31" s="16"/>
      <c r="O31" s="5"/>
      <c r="P31" s="16"/>
      <c r="Q31" s="5"/>
      <c r="R31" s="16"/>
      <c r="S31" s="5"/>
      <c r="T31" s="16"/>
      <c r="U31" s="5"/>
      <c r="V31" s="16"/>
      <c r="W31" s="5"/>
      <c r="X31" s="16"/>
      <c r="Y31" s="5"/>
      <c r="Z31" s="16"/>
      <c r="AA31" s="5"/>
      <c r="AB31" s="16"/>
      <c r="AC31" s="5"/>
      <c r="AD31" s="16"/>
      <c r="AE31" s="5"/>
      <c r="AF31" s="16"/>
      <c r="AG31" s="5"/>
      <c r="AH31" s="16"/>
      <c r="AI31" s="5"/>
      <c r="AJ31" s="16"/>
      <c r="AK31" s="5"/>
      <c r="AL31" s="16"/>
      <c r="AM31" s="5"/>
      <c r="AN31" s="16"/>
      <c r="AO31" s="5"/>
      <c r="AP31" s="16"/>
      <c r="AX31" s="70" t="s">
        <v>594</v>
      </c>
      <c r="AY31" s="75" t="s">
        <v>597</v>
      </c>
      <c r="AZ31" s="72" t="s">
        <v>598</v>
      </c>
      <c r="BC31" s="42" t="s">
        <v>80</v>
      </c>
      <c r="BD31" s="6">
        <f>IF(M25 &lt;&gt; "", VLOOKUP(CONCATENATE("P", M25), pointsSystem2, 2, FALSE), 0)</f>
        <v>0</v>
      </c>
      <c r="BE31" s="47">
        <f>IF(N25 &lt;&gt; "", VLOOKUP(CONCATENATE("P", N25), pointsSystem2, 3, FALSE), 0)</f>
        <v>0</v>
      </c>
      <c r="BF31" s="6">
        <f>IF(O25 &lt;&gt; "", VLOOKUP(CONCATENATE("P", O25), pointsSystem2, 2, FALSE), 0)</f>
        <v>0</v>
      </c>
      <c r="BG31" s="47">
        <f>IF(P25 &lt;&gt; "", VLOOKUP(CONCATENATE("P", P25), pointsSystem2, 3, FALSE), 0)</f>
        <v>0</v>
      </c>
      <c r="BH31" s="6">
        <f>IF(Q25 &lt;&gt; "", VLOOKUP(CONCATENATE("P", Q25), pointsSystem2, 2, FALSE), 0)</f>
        <v>0</v>
      </c>
      <c r="BI31" s="47">
        <f>IF(R25 &lt;&gt; "", VLOOKUP(CONCATENATE("P", R25), pointsSystem2, 3, FALSE), 0)</f>
        <v>0</v>
      </c>
      <c r="BJ31" s="6">
        <f>IF(S25 &lt;&gt; "", VLOOKUP(CONCATENATE("P", S25), pointsSystem2, 2, FALSE), 0)</f>
        <v>0</v>
      </c>
      <c r="BK31" s="47">
        <f>IF(T25 &lt;&gt; "", VLOOKUP(CONCATENATE("P", T25), pointsSystem2, 3, FALSE), 0)</f>
        <v>0</v>
      </c>
      <c r="BL31" s="6">
        <f>IF(U25 &lt;&gt; "", VLOOKUP(CONCATENATE("P", U25), pointsSystem2, 2, FALSE), 0)</f>
        <v>0</v>
      </c>
      <c r="BM31" s="47">
        <f>IF(V25 &lt;&gt; "", VLOOKUP(CONCATENATE("P", V25), pointsSystem2, 3, FALSE), 0)</f>
        <v>0</v>
      </c>
      <c r="BN31" s="6">
        <f>IF(W25 &lt;&gt; "", VLOOKUP(CONCATENATE("P", W25), pointsSystem2, 2, FALSE), 0)</f>
        <v>0</v>
      </c>
      <c r="BO31" s="47">
        <f>IF(X25 &lt;&gt; "", VLOOKUP(CONCATENATE("P", X25), pointsSystem2, 3, FALSE), 0)</f>
        <v>0</v>
      </c>
      <c r="BP31" s="6">
        <f>IF(Y25 &lt;&gt; "", VLOOKUP(CONCATENATE("P", Y25), pointsSystem2, 2, FALSE), 0)</f>
        <v>0</v>
      </c>
      <c r="BQ31" s="47">
        <f>IF(Z25 &lt;&gt; "", VLOOKUP(CONCATENATE("P", Z25), pointsSystem2, 3, FALSE), 0)</f>
        <v>0</v>
      </c>
      <c r="BR31" s="6">
        <f>IF(AA25 &lt;&gt; "", VLOOKUP(CONCATENATE("P", AA25), pointsSystem2, 2, FALSE), 0)</f>
        <v>0</v>
      </c>
      <c r="BS31" s="47">
        <f>IF(AB25 &lt;&gt; "", VLOOKUP(CONCATENATE("P", AB25), pointsSystem2, 3, FALSE), 0)</f>
        <v>0</v>
      </c>
      <c r="BT31" s="6">
        <f>IF(AC25 &lt;&gt; "", VLOOKUP(CONCATENATE("P", AC25), pointsSystem2, 2, FALSE), 0)</f>
        <v>0</v>
      </c>
      <c r="BU31" s="47">
        <f>IF(AD25 &lt;&gt; "", VLOOKUP(CONCATENATE("P", AD25), pointsSystem2, 3, FALSE), 0)</f>
        <v>0</v>
      </c>
      <c r="BV31" s="6">
        <f>IF(AE25 &lt;&gt; "", VLOOKUP(CONCATENATE("P", AE25), pointsSystem2, 2, FALSE), 0)</f>
        <v>0</v>
      </c>
      <c r="BW31" s="47">
        <f>IF(AF25 &lt;&gt; "", VLOOKUP(CONCATENATE("P", AF25), pointsSystem2, 3, FALSE), 0)</f>
        <v>0</v>
      </c>
      <c r="BX31" s="6">
        <f>IF(AG25 &lt;&gt; "", VLOOKUP(CONCATENATE("P", AG25), pointsSystem2, 2, FALSE), 0)</f>
        <v>0</v>
      </c>
      <c r="BY31" s="47">
        <f>IF(AH25 &lt;&gt; "", VLOOKUP(CONCATENATE("P", AH25), pointsSystem2, 3, FALSE), 0)</f>
        <v>0</v>
      </c>
      <c r="BZ31" s="6">
        <f>IF(AI25 &lt;&gt; "", VLOOKUP(CONCATENATE("P", AI25), pointsSystem2, 2, FALSE), 0)</f>
        <v>0</v>
      </c>
      <c r="CA31" s="47">
        <f>IF(AJ25 &lt;&gt; "", VLOOKUP(CONCATENATE("P", AJ25), pointsSystem2, 3, FALSE), 0)</f>
        <v>0</v>
      </c>
      <c r="CB31" s="6">
        <f>IF(AK25 &lt;&gt; "", VLOOKUP(CONCATENATE("P", AK25), pointsSystem2, 2, FALSE), 0)</f>
        <v>0</v>
      </c>
      <c r="CC31" s="47">
        <f>IF(AL25 &lt;&gt; "", VLOOKUP(CONCATENATE("P", AL25), pointsSystem2, 3, FALSE), 0)</f>
        <v>0</v>
      </c>
      <c r="CD31" s="6">
        <f>IF(AM25 &lt;&gt; "", VLOOKUP(CONCATENATE("P", AM25), pointsSystem2, 2, FALSE), 0)</f>
        <v>0</v>
      </c>
      <c r="CE31" s="47">
        <f>IF(AN25 &lt;&gt; "", VLOOKUP(CONCATENATE("P", AN25), pointsSystem2, 3, FALSE), 0)</f>
        <v>0</v>
      </c>
      <c r="CF31" s="6">
        <f>AO25 * 3</f>
        <v>0</v>
      </c>
      <c r="CG31" s="47">
        <f>AP25 * 1</f>
        <v>0</v>
      </c>
      <c r="DQ31" s="225" t="s">
        <v>13</v>
      </c>
      <c r="DR31" s="6">
        <f>MAX(BD10:BD13, BD18:BD21)</f>
        <v>0</v>
      </c>
      <c r="DS31" s="47">
        <f t="shared" ref="DS31:ES31" si="21">MAX(BE10:BE13, BE18:BE21)</f>
        <v>0</v>
      </c>
      <c r="DT31" s="6">
        <f t="shared" si="21"/>
        <v>0</v>
      </c>
      <c r="DU31" s="47">
        <f t="shared" si="21"/>
        <v>0</v>
      </c>
      <c r="DV31" s="6">
        <f t="shared" si="21"/>
        <v>0</v>
      </c>
      <c r="DW31" s="47">
        <f t="shared" si="21"/>
        <v>0</v>
      </c>
      <c r="DX31" s="6">
        <f t="shared" si="21"/>
        <v>0</v>
      </c>
      <c r="DY31" s="47">
        <f t="shared" si="21"/>
        <v>0</v>
      </c>
      <c r="DZ31" s="6">
        <f t="shared" si="21"/>
        <v>0</v>
      </c>
      <c r="EA31" s="47">
        <f t="shared" si="21"/>
        <v>0</v>
      </c>
      <c r="EB31" s="6">
        <f t="shared" si="21"/>
        <v>0</v>
      </c>
      <c r="EC31" s="47">
        <f t="shared" si="21"/>
        <v>0</v>
      </c>
      <c r="ED31" s="6">
        <f t="shared" si="21"/>
        <v>0</v>
      </c>
      <c r="EE31" s="47">
        <f t="shared" si="21"/>
        <v>0</v>
      </c>
      <c r="EF31" s="6">
        <f t="shared" si="21"/>
        <v>0</v>
      </c>
      <c r="EG31" s="47">
        <f t="shared" si="21"/>
        <v>0</v>
      </c>
      <c r="EH31" s="6">
        <f t="shared" si="21"/>
        <v>0</v>
      </c>
      <c r="EI31" s="47">
        <f t="shared" si="21"/>
        <v>0</v>
      </c>
      <c r="EJ31" s="6">
        <f t="shared" si="21"/>
        <v>0</v>
      </c>
      <c r="EK31" s="47">
        <f t="shared" si="21"/>
        <v>0</v>
      </c>
      <c r="EL31" s="6">
        <f t="shared" si="21"/>
        <v>0</v>
      </c>
      <c r="EM31" s="47">
        <f t="shared" si="21"/>
        <v>0</v>
      </c>
      <c r="EN31" s="6">
        <f t="shared" si="21"/>
        <v>0</v>
      </c>
      <c r="EO31" s="47">
        <f t="shared" si="21"/>
        <v>0</v>
      </c>
      <c r="EP31" s="6">
        <f t="shared" si="21"/>
        <v>0</v>
      </c>
      <c r="EQ31" s="47">
        <f t="shared" si="21"/>
        <v>0</v>
      </c>
      <c r="ER31" s="6">
        <f t="shared" si="21"/>
        <v>0</v>
      </c>
      <c r="ES31" s="47">
        <f t="shared" si="21"/>
        <v>0</v>
      </c>
      <c r="ET31" s="249">
        <f>SUM(CF10:CF13, CF18:CF21)</f>
        <v>0</v>
      </c>
      <c r="EU31" s="251">
        <f t="shared" ref="EU31" si="22">SUM(CG10:CG13, CG18:CG21)</f>
        <v>0</v>
      </c>
      <c r="EX31" s="225" t="s">
        <v>13</v>
      </c>
      <c r="EY31" s="192">
        <f>SUM(DR31:EU32)</f>
        <v>0</v>
      </c>
    </row>
    <row r="32" spans="2:155" ht="16.8" customHeight="1" thickBot="1" x14ac:dyDescent="0.35">
      <c r="B32" s="8" t="s">
        <v>318</v>
      </c>
      <c r="C32" s="65" t="s">
        <v>297</v>
      </c>
      <c r="D32" s="65" t="s">
        <v>681</v>
      </c>
      <c r="E32" s="65" t="s">
        <v>339</v>
      </c>
      <c r="F32" s="71" t="s">
        <v>6</v>
      </c>
      <c r="G32" s="76" t="s">
        <v>10</v>
      </c>
      <c r="H32" s="72" t="s">
        <v>12</v>
      </c>
      <c r="I32" s="11">
        <f>SUM(BD40:CG40)</f>
        <v>0</v>
      </c>
      <c r="L32" s="65" t="s">
        <v>681</v>
      </c>
      <c r="M32" s="5"/>
      <c r="N32" s="16"/>
      <c r="O32" s="5"/>
      <c r="P32" s="16"/>
      <c r="Q32" s="5"/>
      <c r="R32" s="16"/>
      <c r="S32" s="5"/>
      <c r="T32" s="16"/>
      <c r="U32" s="5"/>
      <c r="V32" s="16"/>
      <c r="W32" s="5"/>
      <c r="X32" s="16"/>
      <c r="Y32" s="5"/>
      <c r="Z32" s="16"/>
      <c r="AA32" s="5"/>
      <c r="AB32" s="16"/>
      <c r="AC32" s="5"/>
      <c r="AD32" s="16"/>
      <c r="AE32" s="5"/>
      <c r="AF32" s="16"/>
      <c r="AG32" s="5"/>
      <c r="AH32" s="16"/>
      <c r="AI32" s="5"/>
      <c r="AJ32" s="16"/>
      <c r="AK32" s="5"/>
      <c r="AL32" s="16"/>
      <c r="AM32" s="5"/>
      <c r="AN32" s="16"/>
      <c r="AO32" s="5"/>
      <c r="AP32" s="16"/>
      <c r="AS32" s="10">
        <f>MAX(I4:I29) - LARGE(I4:I29, 2)</f>
        <v>0</v>
      </c>
      <c r="AT32" s="180" t="s">
        <v>409</v>
      </c>
      <c r="AU32" s="182"/>
      <c r="AX32" s="70" t="s">
        <v>594</v>
      </c>
      <c r="AY32" s="75" t="s">
        <v>597</v>
      </c>
      <c r="AZ32" s="72" t="s">
        <v>598</v>
      </c>
      <c r="BC32" s="42" t="s">
        <v>678</v>
      </c>
      <c r="BD32" s="6">
        <f>IF(M26 &lt;&gt; "", VLOOKUP(CONCATENATE("P", M26), pointsSystem2, 2, FALSE), 0)</f>
        <v>0</v>
      </c>
      <c r="BE32" s="47">
        <f>IF(N26 &lt;&gt; "", VLOOKUP(CONCATENATE("P", N26), pointsSystem2, 3, FALSE), 0)</f>
        <v>0</v>
      </c>
      <c r="BF32" s="6">
        <f>IF(O26 &lt;&gt; "", VLOOKUP(CONCATENATE("P", O26), pointsSystem2, 2, FALSE), 0)</f>
        <v>0</v>
      </c>
      <c r="BG32" s="47">
        <f>IF(P26 &lt;&gt; "", VLOOKUP(CONCATENATE("P", P26), pointsSystem2, 3, FALSE), 0)</f>
        <v>0</v>
      </c>
      <c r="BH32" s="6">
        <f>IF(Q26 &lt;&gt; "", VLOOKUP(CONCATENATE("P", Q26), pointsSystem2, 2, FALSE), 0)</f>
        <v>0</v>
      </c>
      <c r="BI32" s="47">
        <f>IF(R26 &lt;&gt; "", VLOOKUP(CONCATENATE("P", R26), pointsSystem2, 3, FALSE), 0)</f>
        <v>0</v>
      </c>
      <c r="BJ32" s="6">
        <f>IF(S26 &lt;&gt; "", VLOOKUP(CONCATENATE("P", S26), pointsSystem2, 2, FALSE), 0)</f>
        <v>0</v>
      </c>
      <c r="BK32" s="47">
        <f>IF(T26 &lt;&gt; "", VLOOKUP(CONCATENATE("P", T26), pointsSystem2, 3, FALSE), 0)</f>
        <v>0</v>
      </c>
      <c r="BL32" s="6">
        <f>IF(U26 &lt;&gt; "", VLOOKUP(CONCATENATE("P", U26), pointsSystem2, 2, FALSE), 0)</f>
        <v>0</v>
      </c>
      <c r="BM32" s="47">
        <f>IF(V26 &lt;&gt; "", VLOOKUP(CONCATENATE("P", V26), pointsSystem2, 3, FALSE), 0)</f>
        <v>0</v>
      </c>
      <c r="BN32" s="6">
        <f>IF(W26 &lt;&gt; "", VLOOKUP(CONCATENATE("P", W26), pointsSystem2, 2, FALSE), 0)</f>
        <v>0</v>
      </c>
      <c r="BO32" s="47">
        <f>IF(X26 &lt;&gt; "", VLOOKUP(CONCATENATE("P", X26), pointsSystem2, 3, FALSE), 0)</f>
        <v>0</v>
      </c>
      <c r="BP32" s="6">
        <f>IF(Y26 &lt;&gt; "", VLOOKUP(CONCATENATE("P", Y26), pointsSystem2, 2, FALSE), 0)</f>
        <v>0</v>
      </c>
      <c r="BQ32" s="47">
        <f>IF(Z26 &lt;&gt; "", VLOOKUP(CONCATENATE("P", Z26), pointsSystem2, 3, FALSE), 0)</f>
        <v>0</v>
      </c>
      <c r="BR32" s="6">
        <f>IF(AA26 &lt;&gt; "", VLOOKUP(CONCATENATE("P", AA26), pointsSystem2, 2, FALSE), 0)</f>
        <v>0</v>
      </c>
      <c r="BS32" s="47">
        <f>IF(AB26 &lt;&gt; "", VLOOKUP(CONCATENATE("P", AB26), pointsSystem2, 3, FALSE), 0)</f>
        <v>0</v>
      </c>
      <c r="BT32" s="6">
        <f>IF(AC26 &lt;&gt; "", VLOOKUP(CONCATENATE("P", AC26), pointsSystem2, 2, FALSE), 0)</f>
        <v>0</v>
      </c>
      <c r="BU32" s="47">
        <f>IF(AD26 &lt;&gt; "", VLOOKUP(CONCATENATE("P", AD26), pointsSystem2, 3, FALSE), 0)</f>
        <v>0</v>
      </c>
      <c r="BV32" s="6">
        <f>IF(AE26 &lt;&gt; "", VLOOKUP(CONCATENATE("P", AE26), pointsSystem2, 2, FALSE), 0)</f>
        <v>0</v>
      </c>
      <c r="BW32" s="47">
        <f>IF(AF26 &lt;&gt; "", VLOOKUP(CONCATENATE("P", AF26), pointsSystem2, 3, FALSE), 0)</f>
        <v>0</v>
      </c>
      <c r="BX32" s="6">
        <f>IF(AG26 &lt;&gt; "", VLOOKUP(CONCATENATE("P", AG26), pointsSystem2, 2, FALSE), 0)</f>
        <v>0</v>
      </c>
      <c r="BY32" s="47">
        <f>IF(AH26 &lt;&gt; "", VLOOKUP(CONCATENATE("P", AH26), pointsSystem2, 3, FALSE), 0)</f>
        <v>0</v>
      </c>
      <c r="BZ32" s="6">
        <f>IF(AI26 &lt;&gt; "", VLOOKUP(CONCATENATE("P", AI26), pointsSystem2, 2, FALSE), 0)</f>
        <v>0</v>
      </c>
      <c r="CA32" s="47">
        <f>IF(AJ26 &lt;&gt; "", VLOOKUP(CONCATENATE("P", AJ26), pointsSystem2, 3, FALSE), 0)</f>
        <v>0</v>
      </c>
      <c r="CB32" s="6">
        <f>IF(AK26 &lt;&gt; "", VLOOKUP(CONCATENATE("P", AK26), pointsSystem2, 2, FALSE), 0)</f>
        <v>0</v>
      </c>
      <c r="CC32" s="47">
        <f>IF(AL26 &lt;&gt; "", VLOOKUP(CONCATENATE("P", AL26), pointsSystem2, 3, FALSE), 0)</f>
        <v>0</v>
      </c>
      <c r="CD32" s="6">
        <f>IF(AM26 &lt;&gt; "", VLOOKUP(CONCATENATE("P", AM26), pointsSystem2, 2, FALSE), 0)</f>
        <v>0</v>
      </c>
      <c r="CE32" s="47">
        <f>IF(AN26 &lt;&gt; "", VLOOKUP(CONCATENATE("P", AN26), pointsSystem2, 3, FALSE), 0)</f>
        <v>0</v>
      </c>
      <c r="CF32" s="6">
        <f>AO26 * 3</f>
        <v>0</v>
      </c>
      <c r="CG32" s="47">
        <f>AP26 * 1</f>
        <v>0</v>
      </c>
      <c r="DQ32" s="225"/>
      <c r="DR32" s="6">
        <f>LARGE((BD10:BD13, BD18:BD21), 2)</f>
        <v>0</v>
      </c>
      <c r="DS32" s="47">
        <f>LARGE((BE10:BE13, BE18:BE21), 2)</f>
        <v>0</v>
      </c>
      <c r="DT32" s="6">
        <f>LARGE((BF10:BF13, BF18:BF21), 2)</f>
        <v>0</v>
      </c>
      <c r="DU32" s="47">
        <f>LARGE((BG10:BG13, BG18:BG21), 2)</f>
        <v>0</v>
      </c>
      <c r="DV32" s="6">
        <f>LARGE((BH10:BH13, BH18:BH21), 2)</f>
        <v>0</v>
      </c>
      <c r="DW32" s="47">
        <f>LARGE((BI10:BI13, BI18:BI21), 2)</f>
        <v>0</v>
      </c>
      <c r="DX32" s="6">
        <f>LARGE((BJ10:BJ13, BJ18:BJ21), 2)</f>
        <v>0</v>
      </c>
      <c r="DY32" s="47">
        <f>LARGE((BK10:BK13, BK18:BK21), 2)</f>
        <v>0</v>
      </c>
      <c r="DZ32" s="6">
        <f>LARGE((BL10:BL13, BL18:BL21), 2)</f>
        <v>0</v>
      </c>
      <c r="EA32" s="47">
        <f>LARGE((BM10:BM13, BM18:BM21), 2)</f>
        <v>0</v>
      </c>
      <c r="EB32" s="6">
        <f>LARGE((BN10:BN13, BN18:BN21), 2)</f>
        <v>0</v>
      </c>
      <c r="EC32" s="47">
        <f>LARGE((BO10:BO13, BO18:BO21), 2)</f>
        <v>0</v>
      </c>
      <c r="ED32" s="6">
        <f>LARGE((BP10:BP13, BP18:BP21), 2)</f>
        <v>0</v>
      </c>
      <c r="EE32" s="47">
        <f>LARGE((BQ10:BQ13, BQ18:BQ21), 2)</f>
        <v>0</v>
      </c>
      <c r="EF32" s="6">
        <f>LARGE((BR10:BR13, BR18:BR21), 2)</f>
        <v>0</v>
      </c>
      <c r="EG32" s="47">
        <f>LARGE((BS10:BS13, BS18:BS21), 2)</f>
        <v>0</v>
      </c>
      <c r="EH32" s="6">
        <f>LARGE((BT10:BT13, BT18:BT21), 2)</f>
        <v>0</v>
      </c>
      <c r="EI32" s="47">
        <f>LARGE((BU10:BU13, BU18:BU21), 2)</f>
        <v>0</v>
      </c>
      <c r="EJ32" s="6">
        <f>LARGE((BV10:BV13, BV18:BV21), 2)</f>
        <v>0</v>
      </c>
      <c r="EK32" s="47">
        <f>LARGE((BW10:BW13, BW18:BW21), 2)</f>
        <v>0</v>
      </c>
      <c r="EL32" s="6">
        <f>LARGE((BX10:BX13, BX18:BX21), 2)</f>
        <v>0</v>
      </c>
      <c r="EM32" s="47">
        <f>LARGE((BY10:BY13, BY18:BY21), 2)</f>
        <v>0</v>
      </c>
      <c r="EN32" s="6">
        <f>LARGE((BZ10:BZ13, BZ18:BZ21), 2)</f>
        <v>0</v>
      </c>
      <c r="EO32" s="47">
        <f>LARGE((CA10:CA13, CA18:CA21), 2)</f>
        <v>0</v>
      </c>
      <c r="EP32" s="6">
        <f>LARGE((CB10:CB13, CB18:CB21), 2)</f>
        <v>0</v>
      </c>
      <c r="EQ32" s="47">
        <f>LARGE((CC10:CC13, CC18:CC21), 2)</f>
        <v>0</v>
      </c>
      <c r="ER32" s="6">
        <f>LARGE((CD10:CD13, CD18:CD21), 2)</f>
        <v>0</v>
      </c>
      <c r="ES32" s="47">
        <f>LARGE((CE10:CE13, CE18:CE21), 2)</f>
        <v>0</v>
      </c>
      <c r="ET32" s="248"/>
      <c r="EU32" s="254"/>
      <c r="EX32" s="225"/>
      <c r="EY32" s="192"/>
    </row>
    <row r="33" spans="2:155" ht="16.8" customHeight="1" thickBot="1" x14ac:dyDescent="0.35">
      <c r="B33" s="8" t="s">
        <v>319</v>
      </c>
      <c r="C33" s="131" t="s">
        <v>204</v>
      </c>
      <c r="D33" s="131" t="s">
        <v>633</v>
      </c>
      <c r="E33" s="131" t="s">
        <v>605</v>
      </c>
      <c r="F33" s="69" t="s">
        <v>5</v>
      </c>
      <c r="G33" s="66" t="s">
        <v>7</v>
      </c>
      <c r="H33" s="78" t="s">
        <v>11</v>
      </c>
      <c r="I33" s="11">
        <f>SUM(BD42:CG42)</f>
        <v>0</v>
      </c>
      <c r="L33" s="131" t="s">
        <v>633</v>
      </c>
      <c r="M33" s="5"/>
      <c r="N33" s="16"/>
      <c r="O33" s="5"/>
      <c r="P33" s="16"/>
      <c r="Q33" s="5"/>
      <c r="R33" s="16"/>
      <c r="S33" s="5"/>
      <c r="T33" s="16"/>
      <c r="U33" s="5"/>
      <c r="V33" s="16"/>
      <c r="W33" s="5"/>
      <c r="X33" s="16"/>
      <c r="Y33" s="5"/>
      <c r="Z33" s="16"/>
      <c r="AA33" s="5"/>
      <c r="AB33" s="16"/>
      <c r="AC33" s="5"/>
      <c r="AD33" s="16"/>
      <c r="AE33" s="5"/>
      <c r="AF33" s="16"/>
      <c r="AG33" s="5"/>
      <c r="AH33" s="16"/>
      <c r="AI33" s="5"/>
      <c r="AJ33" s="16"/>
      <c r="AK33" s="5"/>
      <c r="AL33" s="16"/>
      <c r="AM33" s="5"/>
      <c r="AN33" s="16"/>
      <c r="AO33" s="5"/>
      <c r="AP33" s="16"/>
      <c r="AS33" s="12">
        <f>MAX(AU4:AU14) - LARGE(AU4:AU14, 2)</f>
        <v>0</v>
      </c>
      <c r="AT33" s="171" t="s">
        <v>410</v>
      </c>
      <c r="AU33" s="173"/>
      <c r="AX33" s="70" t="s">
        <v>594</v>
      </c>
      <c r="AY33" s="75" t="s">
        <v>597</v>
      </c>
      <c r="AZ33" s="72" t="s">
        <v>598</v>
      </c>
      <c r="BC33" s="42" t="s">
        <v>340</v>
      </c>
      <c r="BD33" s="6">
        <f>IF(M44 &lt;&gt; "", VLOOKUP(CONCATENATE("P", M44), pointsSystem2, 2, FALSE), 0)</f>
        <v>0</v>
      </c>
      <c r="BE33" s="47">
        <f>IF(N44 &lt;&gt; "", VLOOKUP(CONCATENATE("P", N44), pointsSystem2, 3, FALSE), 0)</f>
        <v>0</v>
      </c>
      <c r="BF33" s="6">
        <f>IF(O44 &lt;&gt; "", VLOOKUP(CONCATENATE("P", O44), pointsSystem2, 2, FALSE), 0)</f>
        <v>0</v>
      </c>
      <c r="BG33" s="47">
        <f>IF(P44 &lt;&gt; "", VLOOKUP(CONCATENATE("P", P44), pointsSystem2, 3, FALSE), 0)</f>
        <v>0</v>
      </c>
      <c r="BH33" s="6">
        <f>IF(Q44 &lt;&gt; "", VLOOKUP(CONCATENATE("P", Q44), pointsSystem2, 2, FALSE), 0)</f>
        <v>0</v>
      </c>
      <c r="BI33" s="47">
        <f>IF(R44 &lt;&gt; "", VLOOKUP(CONCATENATE("P", R44), pointsSystem2, 3, FALSE), 0)</f>
        <v>0</v>
      </c>
      <c r="BJ33" s="6">
        <f>IF(S44 &lt;&gt; "", VLOOKUP(CONCATENATE("P", S44), pointsSystem2, 2, FALSE), 0)</f>
        <v>0</v>
      </c>
      <c r="BK33" s="47">
        <f>IF(T44 &lt;&gt; "", VLOOKUP(CONCATENATE("P", T44), pointsSystem2, 3, FALSE), 0)</f>
        <v>0</v>
      </c>
      <c r="BL33" s="6">
        <f>IF(U44 &lt;&gt; "", VLOOKUP(CONCATENATE("P", U44), pointsSystem2, 2, FALSE), 0)</f>
        <v>0</v>
      </c>
      <c r="BM33" s="47">
        <f>IF(V44 &lt;&gt; "", VLOOKUP(CONCATENATE("P", V44), pointsSystem2, 3, FALSE), 0)</f>
        <v>0</v>
      </c>
      <c r="BN33" s="6">
        <f>IF(W44 &lt;&gt; "", VLOOKUP(CONCATENATE("P", W44), pointsSystem2, 2, FALSE), 0)</f>
        <v>0</v>
      </c>
      <c r="BO33" s="47">
        <f>IF(X44 &lt;&gt; "", VLOOKUP(CONCATENATE("P", X44), pointsSystem2, 3, FALSE), 0)</f>
        <v>0</v>
      </c>
      <c r="BP33" s="6">
        <f>IF(Y44 &lt;&gt; "", VLOOKUP(CONCATENATE("P", Y44), pointsSystem2, 2, FALSE), 0)</f>
        <v>0</v>
      </c>
      <c r="BQ33" s="47">
        <f>IF(Z44 &lt;&gt; "", VLOOKUP(CONCATENATE("P", Z44), pointsSystem2, 3, FALSE), 0)</f>
        <v>0</v>
      </c>
      <c r="BR33" s="6">
        <f>IF(AA44 &lt;&gt; "", VLOOKUP(CONCATENATE("P", AA44), pointsSystem2, 2, FALSE), 0)</f>
        <v>0</v>
      </c>
      <c r="BS33" s="47">
        <f>IF(AB44 &lt;&gt; "", VLOOKUP(CONCATENATE("P", AB44), pointsSystem2, 3, FALSE), 0)</f>
        <v>0</v>
      </c>
      <c r="BT33" s="6">
        <f>IF(AC44 &lt;&gt; "", VLOOKUP(CONCATENATE("P", AC44), pointsSystem2, 2, FALSE), 0)</f>
        <v>0</v>
      </c>
      <c r="BU33" s="47">
        <f>IF(AD44 &lt;&gt; "", VLOOKUP(CONCATENATE("P", AD44), pointsSystem2, 3, FALSE), 0)</f>
        <v>0</v>
      </c>
      <c r="BV33" s="6">
        <f>IF(AE44 &lt;&gt; "", VLOOKUP(CONCATENATE("P", AE44), pointsSystem2, 2, FALSE), 0)</f>
        <v>0</v>
      </c>
      <c r="BW33" s="47">
        <f>IF(AF44 &lt;&gt; "", VLOOKUP(CONCATENATE("P", AF44), pointsSystem2, 3, FALSE), 0)</f>
        <v>0</v>
      </c>
      <c r="BX33" s="6">
        <f>IF(AG44 &lt;&gt; "", VLOOKUP(CONCATENATE("P", AG44), pointsSystem2, 2, FALSE), 0)</f>
        <v>0</v>
      </c>
      <c r="BY33" s="47">
        <f>IF(AH44 &lt;&gt; "", VLOOKUP(CONCATENATE("P", AH44), pointsSystem2, 3, FALSE), 0)</f>
        <v>0</v>
      </c>
      <c r="BZ33" s="6">
        <f>IF(AI44 &lt;&gt; "", VLOOKUP(CONCATENATE("P", AI44), pointsSystem2, 2, FALSE), 0)</f>
        <v>0</v>
      </c>
      <c r="CA33" s="47">
        <f>IF(AJ44 &lt;&gt; "", VLOOKUP(CONCATENATE("P", AJ44), pointsSystem2, 3, FALSE), 0)</f>
        <v>0</v>
      </c>
      <c r="CB33" s="6">
        <f>IF(AK44 &lt;&gt; "", VLOOKUP(CONCATENATE("P", AK44), pointsSystem2, 2, FALSE), 0)</f>
        <v>0</v>
      </c>
      <c r="CC33" s="47">
        <f>IF(AL44 &lt;&gt; "", VLOOKUP(CONCATENATE("P", AL44), pointsSystem2, 3, FALSE), 0)</f>
        <v>0</v>
      </c>
      <c r="CD33" s="6">
        <f>IF(AM44 &lt;&gt; "", VLOOKUP(CONCATENATE("P", AM44), pointsSystem2, 2, FALSE), 0)</f>
        <v>0</v>
      </c>
      <c r="CE33" s="47">
        <f>IF(AN44 &lt;&gt; "", VLOOKUP(CONCATENATE("P", AN44), pointsSystem2, 3, FALSE), 0)</f>
        <v>0</v>
      </c>
      <c r="CF33" s="6">
        <f>AO44 * 3</f>
        <v>0</v>
      </c>
      <c r="CG33" s="47">
        <f>AP44 * 1</f>
        <v>0</v>
      </c>
      <c r="DQ33" s="228" t="s">
        <v>12</v>
      </c>
      <c r="DR33" s="6">
        <f>MAX(BD5:BD9, BD22:BD33, BD38:BD41)</f>
        <v>0</v>
      </c>
      <c r="DS33" s="47">
        <f t="shared" ref="DS33:ES33" si="23">MAX(BE5:BE9, BE22:BE33, BE38:BE41)</f>
        <v>0</v>
      </c>
      <c r="DT33" s="6">
        <f t="shared" si="23"/>
        <v>0</v>
      </c>
      <c r="DU33" s="47">
        <f t="shared" si="23"/>
        <v>0</v>
      </c>
      <c r="DV33" s="6">
        <f t="shared" si="23"/>
        <v>0</v>
      </c>
      <c r="DW33" s="47">
        <f t="shared" si="23"/>
        <v>0</v>
      </c>
      <c r="DX33" s="6">
        <f t="shared" si="23"/>
        <v>0</v>
      </c>
      <c r="DY33" s="47">
        <f t="shared" si="23"/>
        <v>0</v>
      </c>
      <c r="DZ33" s="6">
        <f t="shared" si="23"/>
        <v>0</v>
      </c>
      <c r="EA33" s="47">
        <f t="shared" si="23"/>
        <v>0</v>
      </c>
      <c r="EB33" s="6">
        <f t="shared" si="23"/>
        <v>0</v>
      </c>
      <c r="EC33" s="47">
        <f t="shared" si="23"/>
        <v>0</v>
      </c>
      <c r="ED33" s="6">
        <f t="shared" si="23"/>
        <v>0</v>
      </c>
      <c r="EE33" s="47">
        <f t="shared" si="23"/>
        <v>0</v>
      </c>
      <c r="EF33" s="6">
        <f t="shared" si="23"/>
        <v>0</v>
      </c>
      <c r="EG33" s="47">
        <f t="shared" si="23"/>
        <v>0</v>
      </c>
      <c r="EH33" s="6">
        <f t="shared" si="23"/>
        <v>0</v>
      </c>
      <c r="EI33" s="47">
        <f t="shared" si="23"/>
        <v>0</v>
      </c>
      <c r="EJ33" s="6">
        <f t="shared" si="23"/>
        <v>0</v>
      </c>
      <c r="EK33" s="47">
        <f t="shared" si="23"/>
        <v>0</v>
      </c>
      <c r="EL33" s="6">
        <f t="shared" si="23"/>
        <v>0</v>
      </c>
      <c r="EM33" s="47">
        <f t="shared" si="23"/>
        <v>0</v>
      </c>
      <c r="EN33" s="6">
        <f t="shared" si="23"/>
        <v>0</v>
      </c>
      <c r="EO33" s="47">
        <f t="shared" si="23"/>
        <v>0</v>
      </c>
      <c r="EP33" s="6">
        <f t="shared" si="23"/>
        <v>0</v>
      </c>
      <c r="EQ33" s="47">
        <f t="shared" si="23"/>
        <v>0</v>
      </c>
      <c r="ER33" s="6">
        <f t="shared" si="23"/>
        <v>0</v>
      </c>
      <c r="ES33" s="47">
        <f t="shared" si="23"/>
        <v>0</v>
      </c>
      <c r="ET33" s="249">
        <f>SUM(CF5:CF9, CF22:CF33, CF38:CF41)</f>
        <v>0</v>
      </c>
      <c r="EU33" s="251">
        <f t="shared" ref="EU33" si="24">SUM(CG5:CG9, CG22:CG33, CG38:CG41)</f>
        <v>0</v>
      </c>
      <c r="EX33" s="228" t="s">
        <v>12</v>
      </c>
      <c r="EY33" s="192">
        <f>SUM(DR33:EU34)</f>
        <v>0</v>
      </c>
    </row>
    <row r="34" spans="2:155" ht="16.8" customHeight="1" thickBot="1" x14ac:dyDescent="0.35">
      <c r="B34" s="8" t="s">
        <v>320</v>
      </c>
      <c r="C34" s="131" t="s">
        <v>513</v>
      </c>
      <c r="D34" s="131" t="s">
        <v>62</v>
      </c>
      <c r="E34" s="131" t="s">
        <v>605</v>
      </c>
      <c r="F34" s="69" t="s">
        <v>5</v>
      </c>
      <c r="G34" s="66" t="s">
        <v>7</v>
      </c>
      <c r="H34" s="78" t="s">
        <v>11</v>
      </c>
      <c r="I34" s="11">
        <f>SUM(BD43:CG43)</f>
        <v>0</v>
      </c>
      <c r="L34" s="131" t="s">
        <v>62</v>
      </c>
      <c r="M34" s="5"/>
      <c r="N34" s="16"/>
      <c r="O34" s="5"/>
      <c r="P34" s="16"/>
      <c r="Q34" s="5"/>
      <c r="R34" s="16"/>
      <c r="S34" s="5"/>
      <c r="T34" s="16"/>
      <c r="U34" s="5"/>
      <c r="V34" s="16"/>
      <c r="W34" s="5"/>
      <c r="X34" s="16"/>
      <c r="Y34" s="5"/>
      <c r="Z34" s="16"/>
      <c r="AA34" s="5"/>
      <c r="AB34" s="16"/>
      <c r="AC34" s="5"/>
      <c r="AD34" s="16"/>
      <c r="AE34" s="5"/>
      <c r="AF34" s="16"/>
      <c r="AG34" s="5"/>
      <c r="AH34" s="16"/>
      <c r="AI34" s="5"/>
      <c r="AJ34" s="16"/>
      <c r="AK34" s="5"/>
      <c r="AL34" s="16"/>
      <c r="AM34" s="5"/>
      <c r="AN34" s="16"/>
      <c r="AO34" s="5"/>
      <c r="AP34" s="16"/>
      <c r="AS34" s="10">
        <f>MAX(I4:I29) - (AS38 * AS40)</f>
        <v>-702</v>
      </c>
      <c r="AT34" s="180" t="s">
        <v>408</v>
      </c>
      <c r="AU34" s="182"/>
      <c r="AX34" s="72" t="s">
        <v>598</v>
      </c>
      <c r="AY34" s="66" t="s">
        <v>595</v>
      </c>
      <c r="AZ34" s="78" t="s">
        <v>599</v>
      </c>
      <c r="BC34" s="41" t="s">
        <v>75</v>
      </c>
      <c r="BD34" s="6">
        <f>IF(M27 &lt;&gt; "", VLOOKUP(CONCATENATE("P", M27), pointsSystem2, 2, FALSE), 0)</f>
        <v>0</v>
      </c>
      <c r="BE34" s="47">
        <f>IF(N27 &lt;&gt; "", VLOOKUP(CONCATENATE("P", N27), pointsSystem2, 3, FALSE), 0)</f>
        <v>0</v>
      </c>
      <c r="BF34" s="6">
        <f>IF(O27 &lt;&gt; "", VLOOKUP(CONCATENATE("P", O27), pointsSystem2, 2, FALSE), 0)</f>
        <v>0</v>
      </c>
      <c r="BG34" s="47">
        <f>IF(P27 &lt;&gt; "", VLOOKUP(CONCATENATE("P", P27), pointsSystem2, 3, FALSE), 0)</f>
        <v>0</v>
      </c>
      <c r="BH34" s="6">
        <f>IF(Q27 &lt;&gt; "", VLOOKUP(CONCATENATE("P", Q27), pointsSystem2, 2, FALSE), 0)</f>
        <v>0</v>
      </c>
      <c r="BI34" s="47">
        <f>IF(R27 &lt;&gt; "", VLOOKUP(CONCATENATE("P", R27), pointsSystem2, 3, FALSE), 0)</f>
        <v>0</v>
      </c>
      <c r="BJ34" s="6">
        <f>IF(S27 &lt;&gt; "", VLOOKUP(CONCATENATE("P", S27), pointsSystem2, 2, FALSE), 0)</f>
        <v>0</v>
      </c>
      <c r="BK34" s="47">
        <f>IF(T27 &lt;&gt; "", VLOOKUP(CONCATENATE("P", T27), pointsSystem2, 3, FALSE), 0)</f>
        <v>0</v>
      </c>
      <c r="BL34" s="6">
        <f>IF(U27 &lt;&gt; "", VLOOKUP(CONCATENATE("P", U27), pointsSystem2, 2, FALSE), 0)</f>
        <v>0</v>
      </c>
      <c r="BM34" s="47">
        <f>IF(V27 &lt;&gt; "", VLOOKUP(CONCATENATE("P", V27), pointsSystem2, 3, FALSE), 0)</f>
        <v>0</v>
      </c>
      <c r="BN34" s="6">
        <f>IF(W27 &lt;&gt; "", VLOOKUP(CONCATENATE("P", W27), pointsSystem2, 2, FALSE), 0)</f>
        <v>0</v>
      </c>
      <c r="BO34" s="47">
        <f>IF(X27 &lt;&gt; "", VLOOKUP(CONCATENATE("P", X27), pointsSystem2, 3, FALSE), 0)</f>
        <v>0</v>
      </c>
      <c r="BP34" s="6">
        <f>IF(Y27 &lt;&gt; "", VLOOKUP(CONCATENATE("P", Y27), pointsSystem2, 2, FALSE), 0)</f>
        <v>0</v>
      </c>
      <c r="BQ34" s="47">
        <f>IF(Z27 &lt;&gt; "", VLOOKUP(CONCATENATE("P", Z27), pointsSystem2, 3, FALSE), 0)</f>
        <v>0</v>
      </c>
      <c r="BR34" s="6">
        <f>IF(AA27 &lt;&gt; "", VLOOKUP(CONCATENATE("P", AA27), pointsSystem2, 2, FALSE), 0)</f>
        <v>0</v>
      </c>
      <c r="BS34" s="47">
        <f>IF(AB27 &lt;&gt; "", VLOOKUP(CONCATENATE("P", AB27), pointsSystem2, 3, FALSE), 0)</f>
        <v>0</v>
      </c>
      <c r="BT34" s="6">
        <f>IF(AC27 &lt;&gt; "", VLOOKUP(CONCATENATE("P", AC27), pointsSystem2, 2, FALSE), 0)</f>
        <v>0</v>
      </c>
      <c r="BU34" s="47">
        <f>IF(AD27 &lt;&gt; "", VLOOKUP(CONCATENATE("P", AD27), pointsSystem2, 3, FALSE), 0)</f>
        <v>0</v>
      </c>
      <c r="BV34" s="6">
        <f>IF(AE27 &lt;&gt; "", VLOOKUP(CONCATENATE("P", AE27), pointsSystem2, 2, FALSE), 0)</f>
        <v>0</v>
      </c>
      <c r="BW34" s="47">
        <f>IF(AF27 &lt;&gt; "", VLOOKUP(CONCATENATE("P", AF27), pointsSystem2, 3, FALSE), 0)</f>
        <v>0</v>
      </c>
      <c r="BX34" s="6">
        <f>IF(AG27 &lt;&gt; "", VLOOKUP(CONCATENATE("P", AG27), pointsSystem2, 2, FALSE), 0)</f>
        <v>0</v>
      </c>
      <c r="BY34" s="47">
        <f>IF(AH27 &lt;&gt; "", VLOOKUP(CONCATENATE("P", AH27), pointsSystem2, 3, FALSE), 0)</f>
        <v>0</v>
      </c>
      <c r="BZ34" s="6">
        <f>IF(AI27 &lt;&gt; "", VLOOKUP(CONCATENATE("P", AI27), pointsSystem2, 2, FALSE), 0)</f>
        <v>0</v>
      </c>
      <c r="CA34" s="47">
        <f>IF(AJ27 &lt;&gt; "", VLOOKUP(CONCATENATE("P", AJ27), pointsSystem2, 3, FALSE), 0)</f>
        <v>0</v>
      </c>
      <c r="CB34" s="6">
        <f>IF(AK27 &lt;&gt; "", VLOOKUP(CONCATENATE("P", AK27), pointsSystem2, 2, FALSE), 0)</f>
        <v>0</v>
      </c>
      <c r="CC34" s="47">
        <f>IF(AL27 &lt;&gt; "", VLOOKUP(CONCATENATE("P", AL27), pointsSystem2, 3, FALSE), 0)</f>
        <v>0</v>
      </c>
      <c r="CD34" s="6">
        <f>IF(AM27 &lt;&gt; "", VLOOKUP(CONCATENATE("P", AM27), pointsSystem2, 2, FALSE), 0)</f>
        <v>0</v>
      </c>
      <c r="CE34" s="47">
        <f>IF(AN27 &lt;&gt; "", VLOOKUP(CONCATENATE("P", AN27), pointsSystem2, 3, FALSE), 0)</f>
        <v>0</v>
      </c>
      <c r="CF34" s="6">
        <f>AO27 * 3</f>
        <v>0</v>
      </c>
      <c r="CG34" s="47">
        <f>AP27 * 1</f>
        <v>0</v>
      </c>
      <c r="DQ34" s="228"/>
      <c r="DR34" s="6">
        <f>LARGE((BD5:BD9, BD22:BD33, BD38:BD41), 2)</f>
        <v>0</v>
      </c>
      <c r="DS34" s="47">
        <f>LARGE((BE5:BE9, BE22:BE33, BE38:BE41), 2)</f>
        <v>0</v>
      </c>
      <c r="DT34" s="6">
        <f>LARGE((BF5:BF9, BF22:BF33, BF38:BF41), 2)</f>
        <v>0</v>
      </c>
      <c r="DU34" s="47">
        <f>LARGE((BG5:BG9, BG22:BG33, BG38:BG41), 2)</f>
        <v>0</v>
      </c>
      <c r="DV34" s="6">
        <f>LARGE((BH5:BH9, BH22:BH33, BH38:BH41), 2)</f>
        <v>0</v>
      </c>
      <c r="DW34" s="47">
        <f>LARGE((BI5:BI9, BI22:BI33, BI38:BI41), 2)</f>
        <v>0</v>
      </c>
      <c r="DX34" s="6">
        <f>LARGE((BJ5:BJ9, BJ22:BJ33, BJ38:BJ41), 2)</f>
        <v>0</v>
      </c>
      <c r="DY34" s="47">
        <f>LARGE((BK5:BK9, BK22:BK33, BK38:BK41), 2)</f>
        <v>0</v>
      </c>
      <c r="DZ34" s="6">
        <f>LARGE((BL5:BL9, BL22:BL33, BL38:BL41), 2)</f>
        <v>0</v>
      </c>
      <c r="EA34" s="47">
        <f>LARGE((BM5:BM9, BM22:BM33, BM38:BM41), 2)</f>
        <v>0</v>
      </c>
      <c r="EB34" s="6">
        <f>LARGE((BN5:BN9, BN22:BN33, BN38:BN41), 2)</f>
        <v>0</v>
      </c>
      <c r="EC34" s="47">
        <f>LARGE((BO5:BO9, BO22:BO33, BO38:BO41), 2)</f>
        <v>0</v>
      </c>
      <c r="ED34" s="6">
        <f>LARGE((BP5:BP9, BP22:BP33, BP38:BP41), 2)</f>
        <v>0</v>
      </c>
      <c r="EE34" s="47">
        <f>LARGE((BQ5:BQ9, BQ22:BQ33, BQ38:BQ41), 2)</f>
        <v>0</v>
      </c>
      <c r="EF34" s="6">
        <f>LARGE((BR5:BR9, BR22:BR33, BR38:BR41), 2)</f>
        <v>0</v>
      </c>
      <c r="EG34" s="47">
        <f>LARGE((BS5:BS9, BS22:BS33, BS38:BS41), 2)</f>
        <v>0</v>
      </c>
      <c r="EH34" s="6">
        <f>LARGE((BT5:BT9, BT22:BT33, BT38:BT41), 2)</f>
        <v>0</v>
      </c>
      <c r="EI34" s="47">
        <f>LARGE((BU5:BU9, BU22:BU33, BU38:BU41), 2)</f>
        <v>0</v>
      </c>
      <c r="EJ34" s="6">
        <f>LARGE((BV5:BV9, BV22:BV33, BV38:BV41), 2)</f>
        <v>0</v>
      </c>
      <c r="EK34" s="47">
        <f>LARGE((BW5:BW9, BW22:BW33, BW38:BW41), 2)</f>
        <v>0</v>
      </c>
      <c r="EL34" s="6">
        <f>LARGE((BX5:BX9, BX22:BX33, BX38:BX41), 2)</f>
        <v>0</v>
      </c>
      <c r="EM34" s="47">
        <f>LARGE((BY5:BY9, BY22:BY33, BY38:BY41), 2)</f>
        <v>0</v>
      </c>
      <c r="EN34" s="6">
        <f>LARGE((BZ5:BZ9, BZ22:BZ33, BZ38:BZ41), 2)</f>
        <v>0</v>
      </c>
      <c r="EO34" s="47">
        <f>LARGE((CA5:CA9, CA22:CA33, CA38:CA41), 2)</f>
        <v>0</v>
      </c>
      <c r="EP34" s="6">
        <f>LARGE((CB5:CB9, CB22:CB33, CB38:CB41), 2)</f>
        <v>0</v>
      </c>
      <c r="EQ34" s="47">
        <f>LARGE((CC5:CC9, CC22:CC33, CC38:CC41), 2)</f>
        <v>0</v>
      </c>
      <c r="ER34" s="6">
        <f>LARGE((CD5:CD9, CD22:CD33, CD38:CD41), 2)</f>
        <v>0</v>
      </c>
      <c r="ES34" s="47">
        <f>LARGE((CE5:CE9, CE22:CE33, CE38:CE41), 2)</f>
        <v>0</v>
      </c>
      <c r="ET34" s="250"/>
      <c r="EU34" s="252"/>
      <c r="EX34" s="228"/>
      <c r="EY34" s="192"/>
    </row>
    <row r="35" spans="2:155" ht="16.8" customHeight="1" thickBot="1" x14ac:dyDescent="0.35">
      <c r="B35" s="8" t="s">
        <v>685</v>
      </c>
      <c r="C35" s="131" t="s">
        <v>200</v>
      </c>
      <c r="D35" s="131" t="s">
        <v>77</v>
      </c>
      <c r="E35" s="131" t="s">
        <v>605</v>
      </c>
      <c r="F35" s="69" t="s">
        <v>5</v>
      </c>
      <c r="G35" s="66" t="s">
        <v>7</v>
      </c>
      <c r="H35" s="78" t="s">
        <v>11</v>
      </c>
      <c r="I35" s="11">
        <f>SUM(BD44:CG44)</f>
        <v>0</v>
      </c>
      <c r="L35" s="131" t="s">
        <v>77</v>
      </c>
      <c r="M35" s="5"/>
      <c r="N35" s="16"/>
      <c r="O35" s="5"/>
      <c r="P35" s="16"/>
      <c r="Q35" s="5"/>
      <c r="R35" s="16"/>
      <c r="S35" s="5"/>
      <c r="T35" s="16"/>
      <c r="U35" s="5"/>
      <c r="V35" s="16"/>
      <c r="W35" s="5"/>
      <c r="X35" s="16"/>
      <c r="Y35" s="5"/>
      <c r="Z35" s="16"/>
      <c r="AA35" s="5"/>
      <c r="AB35" s="16"/>
      <c r="AC35" s="5"/>
      <c r="AD35" s="16"/>
      <c r="AE35" s="5"/>
      <c r="AF35" s="16"/>
      <c r="AG35" s="5"/>
      <c r="AH35" s="16"/>
      <c r="AI35" s="5"/>
      <c r="AJ35" s="16"/>
      <c r="AK35" s="5"/>
      <c r="AL35" s="16"/>
      <c r="AM35" s="5"/>
      <c r="AN35" s="16"/>
      <c r="AO35" s="5"/>
      <c r="AP35" s="16"/>
      <c r="AS35" s="12">
        <f>MAX(AU4:AU14) - (AS38 * AS41)</f>
        <v>-1183</v>
      </c>
      <c r="AT35" s="171" t="s">
        <v>407</v>
      </c>
      <c r="AU35" s="173"/>
      <c r="AX35" s="72" t="s">
        <v>598</v>
      </c>
      <c r="AY35" s="66" t="s">
        <v>595</v>
      </c>
      <c r="AZ35" s="78" t="s">
        <v>599</v>
      </c>
      <c r="BC35" s="41" t="s">
        <v>71</v>
      </c>
      <c r="BD35" s="6">
        <f>IF(M28 &lt;&gt; "", VLOOKUP(CONCATENATE("P", M28), pointsSystem2, 2, FALSE), 0)</f>
        <v>0</v>
      </c>
      <c r="BE35" s="47">
        <f>IF(N28 &lt;&gt; "", VLOOKUP(CONCATENATE("P", N28), pointsSystem2, 3, FALSE), 0)</f>
        <v>0</v>
      </c>
      <c r="BF35" s="6">
        <f>IF(O28 &lt;&gt; "", VLOOKUP(CONCATENATE("P", O28), pointsSystem2, 2, FALSE), 0)</f>
        <v>0</v>
      </c>
      <c r="BG35" s="47">
        <f>IF(P28 &lt;&gt; "", VLOOKUP(CONCATENATE("P", P28), pointsSystem2, 3, FALSE), 0)</f>
        <v>0</v>
      </c>
      <c r="BH35" s="6">
        <f>IF(Q28 &lt;&gt; "", VLOOKUP(CONCATENATE("P", Q28), pointsSystem2, 2, FALSE), 0)</f>
        <v>0</v>
      </c>
      <c r="BI35" s="47">
        <f>IF(R28 &lt;&gt; "", VLOOKUP(CONCATENATE("P", R28), pointsSystem2, 3, FALSE), 0)</f>
        <v>0</v>
      </c>
      <c r="BJ35" s="6">
        <f>IF(S28 &lt;&gt; "", VLOOKUP(CONCATENATE("P", S28), pointsSystem2, 2, FALSE), 0)</f>
        <v>0</v>
      </c>
      <c r="BK35" s="47">
        <f>IF(T28 &lt;&gt; "", VLOOKUP(CONCATENATE("P", T28), pointsSystem2, 3, FALSE), 0)</f>
        <v>0</v>
      </c>
      <c r="BL35" s="6">
        <f>IF(U28 &lt;&gt; "", VLOOKUP(CONCATENATE("P", U28), pointsSystem2, 2, FALSE), 0)</f>
        <v>0</v>
      </c>
      <c r="BM35" s="47">
        <f>IF(V28 &lt;&gt; "", VLOOKUP(CONCATENATE("P", V28), pointsSystem2, 3, FALSE), 0)</f>
        <v>0</v>
      </c>
      <c r="BN35" s="6">
        <f>IF(W28 &lt;&gt; "", VLOOKUP(CONCATENATE("P", W28), pointsSystem2, 2, FALSE), 0)</f>
        <v>0</v>
      </c>
      <c r="BO35" s="47">
        <f>IF(X28 &lt;&gt; "", VLOOKUP(CONCATENATE("P", X28), pointsSystem2, 3, FALSE), 0)</f>
        <v>0</v>
      </c>
      <c r="BP35" s="6">
        <f>IF(Y28 &lt;&gt; "", VLOOKUP(CONCATENATE("P", Y28), pointsSystem2, 2, FALSE), 0)</f>
        <v>0</v>
      </c>
      <c r="BQ35" s="47">
        <f>IF(Z28 &lt;&gt; "", VLOOKUP(CONCATENATE("P", Z28), pointsSystem2, 3, FALSE), 0)</f>
        <v>0</v>
      </c>
      <c r="BR35" s="6">
        <f>IF(AA28 &lt;&gt; "", VLOOKUP(CONCATENATE("P", AA28), pointsSystem2, 2, FALSE), 0)</f>
        <v>0</v>
      </c>
      <c r="BS35" s="47">
        <f>IF(AB28 &lt;&gt; "", VLOOKUP(CONCATENATE("P", AB28), pointsSystem2, 3, FALSE), 0)</f>
        <v>0</v>
      </c>
      <c r="BT35" s="6">
        <f>IF(AC28 &lt;&gt; "", VLOOKUP(CONCATENATE("P", AC28), pointsSystem2, 2, FALSE), 0)</f>
        <v>0</v>
      </c>
      <c r="BU35" s="47">
        <f>IF(AD28 &lt;&gt; "", VLOOKUP(CONCATENATE("P", AD28), pointsSystem2, 3, FALSE), 0)</f>
        <v>0</v>
      </c>
      <c r="BV35" s="6">
        <f>IF(AE28 &lt;&gt; "", VLOOKUP(CONCATENATE("P", AE28), pointsSystem2, 2, FALSE), 0)</f>
        <v>0</v>
      </c>
      <c r="BW35" s="47">
        <f>IF(AF28 &lt;&gt; "", VLOOKUP(CONCATENATE("P", AF28), pointsSystem2, 3, FALSE), 0)</f>
        <v>0</v>
      </c>
      <c r="BX35" s="6">
        <f>IF(AG28 &lt;&gt; "", VLOOKUP(CONCATENATE("P", AG28), pointsSystem2, 2, FALSE), 0)</f>
        <v>0</v>
      </c>
      <c r="BY35" s="47">
        <f>IF(AH28 &lt;&gt; "", VLOOKUP(CONCATENATE("P", AH28), pointsSystem2, 3, FALSE), 0)</f>
        <v>0</v>
      </c>
      <c r="BZ35" s="6">
        <f>IF(AI28 &lt;&gt; "", VLOOKUP(CONCATENATE("P", AI28), pointsSystem2, 2, FALSE), 0)</f>
        <v>0</v>
      </c>
      <c r="CA35" s="47">
        <f>IF(AJ28 &lt;&gt; "", VLOOKUP(CONCATENATE("P", AJ28), pointsSystem2, 3, FALSE), 0)</f>
        <v>0</v>
      </c>
      <c r="CB35" s="6">
        <f>IF(AK28 &lt;&gt; "", VLOOKUP(CONCATENATE("P", AK28), pointsSystem2, 2, FALSE), 0)</f>
        <v>0</v>
      </c>
      <c r="CC35" s="47">
        <f>IF(AL28 &lt;&gt; "", VLOOKUP(CONCATENATE("P", AL28), pointsSystem2, 3, FALSE), 0)</f>
        <v>0</v>
      </c>
      <c r="CD35" s="6">
        <f>IF(AM28 &lt;&gt; "", VLOOKUP(CONCATENATE("P", AM28), pointsSystem2, 2, FALSE), 0)</f>
        <v>0</v>
      </c>
      <c r="CE35" s="47">
        <f>IF(AN28 &lt;&gt; "", VLOOKUP(CONCATENATE("P", AN28), pointsSystem2, 3, FALSE), 0)</f>
        <v>0</v>
      </c>
      <c r="CF35" s="6">
        <f>AO28 * 3</f>
        <v>0</v>
      </c>
      <c r="CG35" s="47">
        <f>AP28 * 1</f>
        <v>0</v>
      </c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130"/>
      <c r="EI35" s="130"/>
      <c r="EJ35" s="130"/>
      <c r="EK35" s="130"/>
      <c r="EL35" s="130"/>
      <c r="EM35" s="130"/>
      <c r="EN35" s="130"/>
      <c r="EO35" s="130"/>
      <c r="EP35" s="130"/>
      <c r="EQ35" s="130"/>
      <c r="ER35" s="130"/>
      <c r="ES35" s="130"/>
      <c r="ET35" s="130"/>
      <c r="EU35" s="130"/>
    </row>
    <row r="36" spans="2:155" ht="16.8" customHeight="1" x14ac:dyDescent="0.3">
      <c r="B36" s="130"/>
      <c r="C36" s="130"/>
      <c r="D36" s="130"/>
      <c r="E36" s="130"/>
      <c r="F36" s="130"/>
      <c r="G36" s="130"/>
      <c r="H36" s="130"/>
      <c r="I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X36" s="72" t="s">
        <v>598</v>
      </c>
      <c r="AY36" s="66" t="s">
        <v>595</v>
      </c>
      <c r="AZ36" s="78" t="s">
        <v>599</v>
      </c>
      <c r="BC36" s="41" t="s">
        <v>79</v>
      </c>
      <c r="BD36" s="6">
        <f>IF(M29 &lt;&gt; "", VLOOKUP(CONCATENATE("P", M29), pointsSystem2, 2, FALSE), 0)</f>
        <v>0</v>
      </c>
      <c r="BE36" s="47">
        <f>IF(N29 &lt;&gt; "", VLOOKUP(CONCATENATE("P", N29), pointsSystem2, 3, FALSE), 0)</f>
        <v>0</v>
      </c>
      <c r="BF36" s="6">
        <f>IF(O29 &lt;&gt; "", VLOOKUP(CONCATENATE("P", O29), pointsSystem2, 2, FALSE), 0)</f>
        <v>0</v>
      </c>
      <c r="BG36" s="47">
        <f>IF(P29 &lt;&gt; "", VLOOKUP(CONCATENATE("P", P29), pointsSystem2, 3, FALSE), 0)</f>
        <v>0</v>
      </c>
      <c r="BH36" s="6">
        <f>IF(Q29 &lt;&gt; "", VLOOKUP(CONCATENATE("P", Q29), pointsSystem2, 2, FALSE), 0)</f>
        <v>0</v>
      </c>
      <c r="BI36" s="47">
        <f>IF(R29 &lt;&gt; "", VLOOKUP(CONCATENATE("P", R29), pointsSystem2, 3, FALSE), 0)</f>
        <v>0</v>
      </c>
      <c r="BJ36" s="6">
        <f>IF(S29 &lt;&gt; "", VLOOKUP(CONCATENATE("P", S29), pointsSystem2, 2, FALSE), 0)</f>
        <v>0</v>
      </c>
      <c r="BK36" s="47">
        <f>IF(T29 &lt;&gt; "", VLOOKUP(CONCATENATE("P", T29), pointsSystem2, 3, FALSE), 0)</f>
        <v>0</v>
      </c>
      <c r="BL36" s="6">
        <f>IF(U29 &lt;&gt; "", VLOOKUP(CONCATENATE("P", U29), pointsSystem2, 2, FALSE), 0)</f>
        <v>0</v>
      </c>
      <c r="BM36" s="47">
        <f>IF(V29 &lt;&gt; "", VLOOKUP(CONCATENATE("P", V29), pointsSystem2, 3, FALSE), 0)</f>
        <v>0</v>
      </c>
      <c r="BN36" s="6">
        <f>IF(W29 &lt;&gt; "", VLOOKUP(CONCATENATE("P", W29), pointsSystem2, 2, FALSE), 0)</f>
        <v>0</v>
      </c>
      <c r="BO36" s="47">
        <f>IF(X29 &lt;&gt; "", VLOOKUP(CONCATENATE("P", X29), pointsSystem2, 3, FALSE), 0)</f>
        <v>0</v>
      </c>
      <c r="BP36" s="6">
        <f>IF(Y29 &lt;&gt; "", VLOOKUP(CONCATENATE("P", Y29), pointsSystem2, 2, FALSE), 0)</f>
        <v>0</v>
      </c>
      <c r="BQ36" s="47">
        <f>IF(Z29 &lt;&gt; "", VLOOKUP(CONCATENATE("P", Z29), pointsSystem2, 3, FALSE), 0)</f>
        <v>0</v>
      </c>
      <c r="BR36" s="6">
        <f>IF(AA29 &lt;&gt; "", VLOOKUP(CONCATENATE("P", AA29), pointsSystem2, 2, FALSE), 0)</f>
        <v>0</v>
      </c>
      <c r="BS36" s="47">
        <f>IF(AB29 &lt;&gt; "", VLOOKUP(CONCATENATE("P", AB29), pointsSystem2, 3, FALSE), 0)</f>
        <v>0</v>
      </c>
      <c r="BT36" s="6">
        <f>IF(AC29 &lt;&gt; "", VLOOKUP(CONCATENATE("P", AC29), pointsSystem2, 2, FALSE), 0)</f>
        <v>0</v>
      </c>
      <c r="BU36" s="47">
        <f>IF(AD29 &lt;&gt; "", VLOOKUP(CONCATENATE("P", AD29), pointsSystem2, 3, FALSE), 0)</f>
        <v>0</v>
      </c>
      <c r="BV36" s="6">
        <f>IF(AE29 &lt;&gt; "", VLOOKUP(CONCATENATE("P", AE29), pointsSystem2, 2, FALSE), 0)</f>
        <v>0</v>
      </c>
      <c r="BW36" s="47">
        <f>IF(AF29 &lt;&gt; "", VLOOKUP(CONCATENATE("P", AF29), pointsSystem2, 3, FALSE), 0)</f>
        <v>0</v>
      </c>
      <c r="BX36" s="6">
        <f>IF(AG29 &lt;&gt; "", VLOOKUP(CONCATENATE("P", AG29), pointsSystem2, 2, FALSE), 0)</f>
        <v>0</v>
      </c>
      <c r="BY36" s="47">
        <f>IF(AH29 &lt;&gt; "", VLOOKUP(CONCATENATE("P", AH29), pointsSystem2, 3, FALSE), 0)</f>
        <v>0</v>
      </c>
      <c r="BZ36" s="6">
        <f>IF(AI29 &lt;&gt; "", VLOOKUP(CONCATENATE("P", AI29), pointsSystem2, 2, FALSE), 0)</f>
        <v>0</v>
      </c>
      <c r="CA36" s="47">
        <f>IF(AJ29 &lt;&gt; "", VLOOKUP(CONCATENATE("P", AJ29), pointsSystem2, 3, FALSE), 0)</f>
        <v>0</v>
      </c>
      <c r="CB36" s="6">
        <f>IF(AK29 &lt;&gt; "", VLOOKUP(CONCATENATE("P", AK29), pointsSystem2, 2, FALSE), 0)</f>
        <v>0</v>
      </c>
      <c r="CC36" s="47">
        <f>IF(AL29 &lt;&gt; "", VLOOKUP(CONCATENATE("P", AL29), pointsSystem2, 3, FALSE), 0)</f>
        <v>0</v>
      </c>
      <c r="CD36" s="6">
        <f>IF(AM29 &lt;&gt; "", VLOOKUP(CONCATENATE("P", AM29), pointsSystem2, 2, FALSE), 0)</f>
        <v>0</v>
      </c>
      <c r="CE36" s="47">
        <f>IF(AN29 &lt;&gt; "", VLOOKUP(CONCATENATE("P", AN29), pointsSystem2, 3, FALSE), 0)</f>
        <v>0</v>
      </c>
      <c r="CF36" s="6">
        <f>AO29 * 3</f>
        <v>0</v>
      </c>
      <c r="CG36" s="47">
        <f>AP29 * 1</f>
        <v>0</v>
      </c>
    </row>
    <row r="37" spans="2:155" ht="16.8" customHeight="1" thickBot="1" x14ac:dyDescent="0.35">
      <c r="B37" s="146"/>
      <c r="C37" s="146"/>
      <c r="D37" s="146"/>
      <c r="E37" s="146"/>
      <c r="F37" s="146"/>
      <c r="G37" s="146"/>
      <c r="H37" s="146"/>
      <c r="I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X37" s="72" t="s">
        <v>598</v>
      </c>
      <c r="AY37" s="66" t="s">
        <v>595</v>
      </c>
      <c r="AZ37" s="78" t="s">
        <v>599</v>
      </c>
      <c r="BC37" s="41" t="s">
        <v>340</v>
      </c>
      <c r="BD37" s="6">
        <f>IF(M45 &lt;&gt; "", VLOOKUP(CONCATENATE("P", M45), pointsSystem2, 2, FALSE), 0)</f>
        <v>0</v>
      </c>
      <c r="BE37" s="47">
        <f>IF(N45 &lt;&gt; "", VLOOKUP(CONCATENATE("P", N45), pointsSystem2, 3, FALSE), 0)</f>
        <v>0</v>
      </c>
      <c r="BF37" s="6">
        <f>IF(O45 &lt;&gt; "", VLOOKUP(CONCATENATE("P", O45), pointsSystem2, 2, FALSE), 0)</f>
        <v>0</v>
      </c>
      <c r="BG37" s="47">
        <f>IF(P45 &lt;&gt; "", VLOOKUP(CONCATENATE("P", P45), pointsSystem2, 3, FALSE), 0)</f>
        <v>0</v>
      </c>
      <c r="BH37" s="6">
        <f>IF(Q45 &lt;&gt; "", VLOOKUP(CONCATENATE("P", Q45), pointsSystem2, 2, FALSE), 0)</f>
        <v>0</v>
      </c>
      <c r="BI37" s="47">
        <f>IF(R45 &lt;&gt; "", VLOOKUP(CONCATENATE("P", R45), pointsSystem2, 3, FALSE), 0)</f>
        <v>0</v>
      </c>
      <c r="BJ37" s="6">
        <f>IF(S45 &lt;&gt; "", VLOOKUP(CONCATENATE("P", S45), pointsSystem2, 2, FALSE), 0)</f>
        <v>0</v>
      </c>
      <c r="BK37" s="47">
        <f>IF(T45 &lt;&gt; "", VLOOKUP(CONCATENATE("P", T45), pointsSystem2, 3, FALSE), 0)</f>
        <v>0</v>
      </c>
      <c r="BL37" s="6">
        <f>IF(U45 &lt;&gt; "", VLOOKUP(CONCATENATE("P", U45), pointsSystem2, 2, FALSE), 0)</f>
        <v>0</v>
      </c>
      <c r="BM37" s="47">
        <f>IF(V45 &lt;&gt; "", VLOOKUP(CONCATENATE("P", V45), pointsSystem2, 3, FALSE), 0)</f>
        <v>0</v>
      </c>
      <c r="BN37" s="6">
        <f>IF(W45 &lt;&gt; "", VLOOKUP(CONCATENATE("P", W45), pointsSystem2, 2, FALSE), 0)</f>
        <v>0</v>
      </c>
      <c r="BO37" s="47">
        <f>IF(X45 &lt;&gt; "", VLOOKUP(CONCATENATE("P", X45), pointsSystem2, 3, FALSE), 0)</f>
        <v>0</v>
      </c>
      <c r="BP37" s="6">
        <f>IF(Y45 &lt;&gt; "", VLOOKUP(CONCATENATE("P", Y45), pointsSystem2, 2, FALSE), 0)</f>
        <v>0</v>
      </c>
      <c r="BQ37" s="47">
        <f>IF(Z45 &lt;&gt; "", VLOOKUP(CONCATENATE("P", Z45), pointsSystem2, 3, FALSE), 0)</f>
        <v>0</v>
      </c>
      <c r="BR37" s="6">
        <f>IF(AA45 &lt;&gt; "", VLOOKUP(CONCATENATE("P", AA45), pointsSystem2, 2, FALSE), 0)</f>
        <v>0</v>
      </c>
      <c r="BS37" s="47">
        <f>IF(AB45 &lt;&gt; "", VLOOKUP(CONCATENATE("P", AB45), pointsSystem2, 3, FALSE), 0)</f>
        <v>0</v>
      </c>
      <c r="BT37" s="6">
        <f>IF(AC45 &lt;&gt; "", VLOOKUP(CONCATENATE("P", AC45), pointsSystem2, 2, FALSE), 0)</f>
        <v>0</v>
      </c>
      <c r="BU37" s="47">
        <f>IF(AD45 &lt;&gt; "", VLOOKUP(CONCATENATE("P", AD45), pointsSystem2, 3, FALSE), 0)</f>
        <v>0</v>
      </c>
      <c r="BV37" s="6">
        <f>IF(AE45 &lt;&gt; "", VLOOKUP(CONCATENATE("P", AE45), pointsSystem2, 2, FALSE), 0)</f>
        <v>0</v>
      </c>
      <c r="BW37" s="47">
        <f>IF(AF45 &lt;&gt; "", VLOOKUP(CONCATENATE("P", AF45), pointsSystem2, 3, FALSE), 0)</f>
        <v>0</v>
      </c>
      <c r="BX37" s="6">
        <f>IF(AG45 &lt;&gt; "", VLOOKUP(CONCATENATE("P", AG45), pointsSystem2, 2, FALSE), 0)</f>
        <v>0</v>
      </c>
      <c r="BY37" s="47">
        <f>IF(AH45 &lt;&gt; "", VLOOKUP(CONCATENATE("P", AH45), pointsSystem2, 3, FALSE), 0)</f>
        <v>0</v>
      </c>
      <c r="BZ37" s="6">
        <f>IF(AI45 &lt;&gt; "", VLOOKUP(CONCATENATE("P", AI45), pointsSystem2, 2, FALSE), 0)</f>
        <v>0</v>
      </c>
      <c r="CA37" s="47">
        <f>IF(AJ45 &lt;&gt; "", VLOOKUP(CONCATENATE("P", AJ45), pointsSystem2, 3, FALSE), 0)</f>
        <v>0</v>
      </c>
      <c r="CB37" s="6">
        <f>IF(AK45 &lt;&gt; "", VLOOKUP(CONCATENATE("P", AK45), pointsSystem2, 2, FALSE), 0)</f>
        <v>0</v>
      </c>
      <c r="CC37" s="47">
        <f>IF(AL45 &lt;&gt; "", VLOOKUP(CONCATENATE("P", AL45), pointsSystem2, 3, FALSE), 0)</f>
        <v>0</v>
      </c>
      <c r="CD37" s="6">
        <f>IF(AM45 &lt;&gt; "", VLOOKUP(CONCATENATE("P", AM45), pointsSystem2, 2, FALSE), 0)</f>
        <v>0</v>
      </c>
      <c r="CE37" s="47">
        <f>IF(AN45 &lt;&gt; "", VLOOKUP(CONCATENATE("P", AN45), pointsSystem2, 3, FALSE), 0)</f>
        <v>0</v>
      </c>
      <c r="CF37" s="6">
        <f>AO45 * 3</f>
        <v>0</v>
      </c>
      <c r="CG37" s="47">
        <f>AP45 * 1</f>
        <v>0</v>
      </c>
    </row>
    <row r="38" spans="2:155" ht="16.8" customHeight="1" x14ac:dyDescent="0.3">
      <c r="B38" s="8" t="s">
        <v>131</v>
      </c>
      <c r="C38" s="37" t="s">
        <v>209</v>
      </c>
      <c r="D38" s="37" t="s">
        <v>340</v>
      </c>
      <c r="E38" s="37" t="s">
        <v>334</v>
      </c>
      <c r="F38" s="71" t="s">
        <v>6</v>
      </c>
      <c r="G38" s="76" t="s">
        <v>10</v>
      </c>
      <c r="H38" s="72" t="s">
        <v>12</v>
      </c>
      <c r="I38" s="11">
        <f>SUM(BD9:CG9)</f>
        <v>0</v>
      </c>
      <c r="L38" s="37" t="s">
        <v>340</v>
      </c>
      <c r="M38" s="5" t="s">
        <v>131</v>
      </c>
      <c r="N38" s="16" t="s">
        <v>131</v>
      </c>
      <c r="O38" s="5" t="s">
        <v>131</v>
      </c>
      <c r="P38" s="16" t="s">
        <v>131</v>
      </c>
      <c r="Q38" s="5" t="s">
        <v>131</v>
      </c>
      <c r="R38" s="16" t="s">
        <v>131</v>
      </c>
      <c r="S38" s="5" t="s">
        <v>131</v>
      </c>
      <c r="T38" s="16" t="s">
        <v>131</v>
      </c>
      <c r="U38" s="5" t="s">
        <v>131</v>
      </c>
      <c r="V38" s="16" t="s">
        <v>131</v>
      </c>
      <c r="W38" s="5" t="s">
        <v>131</v>
      </c>
      <c r="X38" s="16" t="s">
        <v>131</v>
      </c>
      <c r="Y38" s="5" t="s">
        <v>131</v>
      </c>
      <c r="Z38" s="16" t="s">
        <v>131</v>
      </c>
      <c r="AA38" s="5" t="s">
        <v>131</v>
      </c>
      <c r="AB38" s="16" t="s">
        <v>131</v>
      </c>
      <c r="AC38" s="5" t="s">
        <v>131</v>
      </c>
      <c r="AD38" s="16" t="s">
        <v>131</v>
      </c>
      <c r="AE38" s="5" t="s">
        <v>131</v>
      </c>
      <c r="AF38" s="16" t="s">
        <v>131</v>
      </c>
      <c r="AG38" s="5" t="s">
        <v>131</v>
      </c>
      <c r="AH38" s="16" t="s">
        <v>131</v>
      </c>
      <c r="AI38" s="5" t="s">
        <v>131</v>
      </c>
      <c r="AJ38" s="16" t="s">
        <v>131</v>
      </c>
      <c r="AK38" s="5" t="s">
        <v>131</v>
      </c>
      <c r="AL38" s="16" t="s">
        <v>131</v>
      </c>
      <c r="AM38" s="5" t="s">
        <v>131</v>
      </c>
      <c r="AN38" s="16" t="s">
        <v>131</v>
      </c>
      <c r="AO38" s="5"/>
      <c r="AP38" s="16"/>
      <c r="AS38" s="10">
        <f>13 - AS39</f>
        <v>13</v>
      </c>
      <c r="AT38" s="180" t="s">
        <v>406</v>
      </c>
      <c r="AU38" s="182"/>
      <c r="AX38" s="71" t="s">
        <v>125</v>
      </c>
      <c r="AY38" s="76" t="s">
        <v>596</v>
      </c>
      <c r="AZ38" s="72" t="s">
        <v>598</v>
      </c>
      <c r="BC38" s="66" t="s">
        <v>679</v>
      </c>
      <c r="BD38" s="6">
        <f>IF(M30 &lt;&gt; "", VLOOKUP(CONCATENATE("P", M30), pointsSystem2, 2, FALSE), 0)</f>
        <v>0</v>
      </c>
      <c r="BE38" s="47">
        <f>IF(N30 &lt;&gt; "", VLOOKUP(CONCATENATE("P", N30), pointsSystem2, 3, FALSE), 0)</f>
        <v>0</v>
      </c>
      <c r="BF38" s="6">
        <f>IF(O30 &lt;&gt; "", VLOOKUP(CONCATENATE("P", O30), pointsSystem2, 2, FALSE), 0)</f>
        <v>0</v>
      </c>
      <c r="BG38" s="47">
        <f>IF(P30 &lt;&gt; "", VLOOKUP(CONCATENATE("P", P30), pointsSystem2, 3, FALSE), 0)</f>
        <v>0</v>
      </c>
      <c r="BH38" s="6">
        <f>IF(Q30 &lt;&gt; "", VLOOKUP(CONCATENATE("P", Q30), pointsSystem2, 2, FALSE), 0)</f>
        <v>0</v>
      </c>
      <c r="BI38" s="47">
        <f>IF(R30 &lt;&gt; "", VLOOKUP(CONCATENATE("P", R30), pointsSystem2, 3, FALSE), 0)</f>
        <v>0</v>
      </c>
      <c r="BJ38" s="6">
        <f>IF(S30 &lt;&gt; "", VLOOKUP(CONCATENATE("P", S30), pointsSystem2, 2, FALSE), 0)</f>
        <v>0</v>
      </c>
      <c r="BK38" s="47">
        <f>IF(T30 &lt;&gt; "", VLOOKUP(CONCATENATE("P", T30), pointsSystem2, 3, FALSE), 0)</f>
        <v>0</v>
      </c>
      <c r="BL38" s="6">
        <f>IF(U30 &lt;&gt; "", VLOOKUP(CONCATENATE("P", U30), pointsSystem2, 2, FALSE), 0)</f>
        <v>0</v>
      </c>
      <c r="BM38" s="47">
        <f>IF(V30 &lt;&gt; "", VLOOKUP(CONCATENATE("P", V30), pointsSystem2, 3, FALSE), 0)</f>
        <v>0</v>
      </c>
      <c r="BN38" s="6">
        <f>IF(W30 &lt;&gt; "", VLOOKUP(CONCATENATE("P", W30), pointsSystem2, 2, FALSE), 0)</f>
        <v>0</v>
      </c>
      <c r="BO38" s="47">
        <f>IF(X30 &lt;&gt; "", VLOOKUP(CONCATENATE("P", X30), pointsSystem2, 3, FALSE), 0)</f>
        <v>0</v>
      </c>
      <c r="BP38" s="6">
        <f>IF(Y30 &lt;&gt; "", VLOOKUP(CONCATENATE("P", Y30), pointsSystem2, 2, FALSE), 0)</f>
        <v>0</v>
      </c>
      <c r="BQ38" s="47">
        <f>IF(Z30 &lt;&gt; "", VLOOKUP(CONCATENATE("P", Z30), pointsSystem2, 3, FALSE), 0)</f>
        <v>0</v>
      </c>
      <c r="BR38" s="6">
        <f>IF(AA30 &lt;&gt; "", VLOOKUP(CONCATENATE("P", AA30), pointsSystem2, 2, FALSE), 0)</f>
        <v>0</v>
      </c>
      <c r="BS38" s="47">
        <f>IF(AB30 &lt;&gt; "", VLOOKUP(CONCATENATE("P", AB30), pointsSystem2, 3, FALSE), 0)</f>
        <v>0</v>
      </c>
      <c r="BT38" s="6">
        <f>IF(AC30 &lt;&gt; "", VLOOKUP(CONCATENATE("P", AC30), pointsSystem2, 2, FALSE), 0)</f>
        <v>0</v>
      </c>
      <c r="BU38" s="47">
        <f>IF(AD30 &lt;&gt; "", VLOOKUP(CONCATENATE("P", AD30), pointsSystem2, 3, FALSE), 0)</f>
        <v>0</v>
      </c>
      <c r="BV38" s="6">
        <f>IF(AE30 &lt;&gt; "", VLOOKUP(CONCATENATE("P", AE30), pointsSystem2, 2, FALSE), 0)</f>
        <v>0</v>
      </c>
      <c r="BW38" s="47">
        <f>IF(AF30 &lt;&gt; "", VLOOKUP(CONCATENATE("P", AF30), pointsSystem2, 3, FALSE), 0)</f>
        <v>0</v>
      </c>
      <c r="BX38" s="6">
        <f>IF(AG30 &lt;&gt; "", VLOOKUP(CONCATENATE("P", AG30), pointsSystem2, 2, FALSE), 0)</f>
        <v>0</v>
      </c>
      <c r="BY38" s="47">
        <f>IF(AH30 &lt;&gt; "", VLOOKUP(CONCATENATE("P", AH30), pointsSystem2, 3, FALSE), 0)</f>
        <v>0</v>
      </c>
      <c r="BZ38" s="6">
        <f>IF(AI30 &lt;&gt; "", VLOOKUP(CONCATENATE("P", AI30), pointsSystem2, 2, FALSE), 0)</f>
        <v>0</v>
      </c>
      <c r="CA38" s="47">
        <f>IF(AJ30 &lt;&gt; "", VLOOKUP(CONCATENATE("P", AJ30), pointsSystem2, 3, FALSE), 0)</f>
        <v>0</v>
      </c>
      <c r="CB38" s="6">
        <f>IF(AK30 &lt;&gt; "", VLOOKUP(CONCATENATE("P", AK30), pointsSystem2, 2, FALSE), 0)</f>
        <v>0</v>
      </c>
      <c r="CC38" s="47">
        <f>IF(AL30 &lt;&gt; "", VLOOKUP(CONCATENATE("P", AL30), pointsSystem2, 3, FALSE), 0)</f>
        <v>0</v>
      </c>
      <c r="CD38" s="6">
        <f>IF(AM30 &lt;&gt; "", VLOOKUP(CONCATENATE("P", AM30), pointsSystem2, 2, FALSE), 0)</f>
        <v>0</v>
      </c>
      <c r="CE38" s="47">
        <f>IF(AN30 &lt;&gt; "", VLOOKUP(CONCATENATE("P", AN30), pointsSystem2, 3, FALSE), 0)</f>
        <v>0</v>
      </c>
      <c r="CF38" s="6">
        <f>AO30 * 3</f>
        <v>0</v>
      </c>
      <c r="CG38" s="47">
        <f>AP30 * 1</f>
        <v>0</v>
      </c>
    </row>
    <row r="39" spans="2:155" ht="16.8" customHeight="1" thickBot="1" x14ac:dyDescent="0.35">
      <c r="B39" s="8" t="s">
        <v>131</v>
      </c>
      <c r="C39" s="35" t="s">
        <v>201</v>
      </c>
      <c r="D39" s="35" t="s">
        <v>340</v>
      </c>
      <c r="E39" s="35" t="s">
        <v>308</v>
      </c>
      <c r="F39" s="70" t="s">
        <v>34</v>
      </c>
      <c r="G39" s="75" t="s">
        <v>8</v>
      </c>
      <c r="H39" s="67" t="s">
        <v>13</v>
      </c>
      <c r="I39" s="11">
        <f>SUM(BD13:CG13)</f>
        <v>0</v>
      </c>
      <c r="L39" s="35" t="s">
        <v>340</v>
      </c>
      <c r="M39" s="5" t="s">
        <v>131</v>
      </c>
      <c r="N39" s="16" t="s">
        <v>131</v>
      </c>
      <c r="O39" s="5" t="s">
        <v>131</v>
      </c>
      <c r="P39" s="16" t="s">
        <v>131</v>
      </c>
      <c r="Q39" s="5" t="s">
        <v>131</v>
      </c>
      <c r="R39" s="16" t="s">
        <v>131</v>
      </c>
      <c r="S39" s="5" t="s">
        <v>131</v>
      </c>
      <c r="T39" s="16" t="s">
        <v>131</v>
      </c>
      <c r="U39" s="5" t="s">
        <v>131</v>
      </c>
      <c r="V39" s="16" t="s">
        <v>131</v>
      </c>
      <c r="W39" s="5" t="s">
        <v>131</v>
      </c>
      <c r="X39" s="16" t="s">
        <v>131</v>
      </c>
      <c r="Y39" s="5" t="s">
        <v>131</v>
      </c>
      <c r="Z39" s="16" t="s">
        <v>131</v>
      </c>
      <c r="AA39" s="5" t="s">
        <v>131</v>
      </c>
      <c r="AB39" s="16" t="s">
        <v>131</v>
      </c>
      <c r="AC39" s="5" t="s">
        <v>131</v>
      </c>
      <c r="AD39" s="16" t="s">
        <v>131</v>
      </c>
      <c r="AE39" s="5" t="s">
        <v>131</v>
      </c>
      <c r="AF39" s="16" t="s">
        <v>131</v>
      </c>
      <c r="AG39" s="5" t="s">
        <v>131</v>
      </c>
      <c r="AH39" s="16" t="s">
        <v>131</v>
      </c>
      <c r="AI39" s="5" t="s">
        <v>131</v>
      </c>
      <c r="AJ39" s="16" t="s">
        <v>131</v>
      </c>
      <c r="AK39" s="5" t="s">
        <v>131</v>
      </c>
      <c r="AL39" s="16" t="s">
        <v>131</v>
      </c>
      <c r="AM39" s="5" t="s">
        <v>131</v>
      </c>
      <c r="AN39" s="16" t="s">
        <v>131</v>
      </c>
      <c r="AO39" s="5"/>
      <c r="AP39" s="16"/>
      <c r="AS39" s="12">
        <v>0</v>
      </c>
      <c r="AT39" s="171" t="s">
        <v>405</v>
      </c>
      <c r="AU39" s="173"/>
      <c r="AX39" s="71" t="s">
        <v>125</v>
      </c>
      <c r="AY39" s="76" t="s">
        <v>596</v>
      </c>
      <c r="AZ39" s="72" t="s">
        <v>598</v>
      </c>
      <c r="BC39" s="149" t="s">
        <v>680</v>
      </c>
      <c r="BD39" s="6">
        <f>IF(M31 &lt;&gt; "", VLOOKUP(CONCATENATE("P", M31), pointsSystem2, 2, FALSE), 0)</f>
        <v>0</v>
      </c>
      <c r="BE39" s="47">
        <f>IF(N31 &lt;&gt; "", VLOOKUP(CONCATENATE("P", N31), pointsSystem2, 3, FALSE), 0)</f>
        <v>0</v>
      </c>
      <c r="BF39" s="6">
        <f>IF(O31 &lt;&gt; "", VLOOKUP(CONCATENATE("P", O31), pointsSystem2, 2, FALSE), 0)</f>
        <v>0</v>
      </c>
      <c r="BG39" s="47">
        <f>IF(P31 &lt;&gt; "", VLOOKUP(CONCATENATE("P", P31), pointsSystem2, 3, FALSE), 0)</f>
        <v>0</v>
      </c>
      <c r="BH39" s="6">
        <f>IF(Q31 &lt;&gt; "", VLOOKUP(CONCATENATE("P", Q31), pointsSystem2, 2, FALSE), 0)</f>
        <v>0</v>
      </c>
      <c r="BI39" s="47">
        <f>IF(R31 &lt;&gt; "", VLOOKUP(CONCATENATE("P", R31), pointsSystem2, 3, FALSE), 0)</f>
        <v>0</v>
      </c>
      <c r="BJ39" s="6">
        <f>IF(S31 &lt;&gt; "", VLOOKUP(CONCATENATE("P", S31), pointsSystem2, 2, FALSE), 0)</f>
        <v>0</v>
      </c>
      <c r="BK39" s="47">
        <f>IF(T31 &lt;&gt; "", VLOOKUP(CONCATENATE("P", T31), pointsSystem2, 3, FALSE), 0)</f>
        <v>0</v>
      </c>
      <c r="BL39" s="6">
        <f>IF(U31 &lt;&gt; "", VLOOKUP(CONCATENATE("P", U31), pointsSystem2, 2, FALSE), 0)</f>
        <v>0</v>
      </c>
      <c r="BM39" s="47">
        <f>IF(V31 &lt;&gt; "", VLOOKUP(CONCATENATE("P", V31), pointsSystem2, 3, FALSE), 0)</f>
        <v>0</v>
      </c>
      <c r="BN39" s="6">
        <f>IF(W31 &lt;&gt; "", VLOOKUP(CONCATENATE("P", W31), pointsSystem2, 2, FALSE), 0)</f>
        <v>0</v>
      </c>
      <c r="BO39" s="47">
        <f>IF(X31 &lt;&gt; "", VLOOKUP(CONCATENATE("P", X31), pointsSystem2, 3, FALSE), 0)</f>
        <v>0</v>
      </c>
      <c r="BP39" s="6">
        <f>IF(Y31 &lt;&gt; "", VLOOKUP(CONCATENATE("P", Y31), pointsSystem2, 2, FALSE), 0)</f>
        <v>0</v>
      </c>
      <c r="BQ39" s="47">
        <f>IF(Z31 &lt;&gt; "", VLOOKUP(CONCATENATE("P", Z31), pointsSystem2, 3, FALSE), 0)</f>
        <v>0</v>
      </c>
      <c r="BR39" s="6">
        <f>IF(AA31 &lt;&gt; "", VLOOKUP(CONCATENATE("P", AA31), pointsSystem2, 2, FALSE), 0)</f>
        <v>0</v>
      </c>
      <c r="BS39" s="47">
        <f>IF(AB31 &lt;&gt; "", VLOOKUP(CONCATENATE("P", AB31), pointsSystem2, 3, FALSE), 0)</f>
        <v>0</v>
      </c>
      <c r="BT39" s="6">
        <f>IF(AC31 &lt;&gt; "", VLOOKUP(CONCATENATE("P", AC31), pointsSystem2, 2, FALSE), 0)</f>
        <v>0</v>
      </c>
      <c r="BU39" s="47">
        <f>IF(AD31 &lt;&gt; "", VLOOKUP(CONCATENATE("P", AD31), pointsSystem2, 3, FALSE), 0)</f>
        <v>0</v>
      </c>
      <c r="BV39" s="6">
        <f>IF(AE31 &lt;&gt; "", VLOOKUP(CONCATENATE("P", AE31), pointsSystem2, 2, FALSE), 0)</f>
        <v>0</v>
      </c>
      <c r="BW39" s="47">
        <f>IF(AF31 &lt;&gt; "", VLOOKUP(CONCATENATE("P", AF31), pointsSystem2, 3, FALSE), 0)</f>
        <v>0</v>
      </c>
      <c r="BX39" s="6">
        <f>IF(AG31 &lt;&gt; "", VLOOKUP(CONCATENATE("P", AG31), pointsSystem2, 2, FALSE), 0)</f>
        <v>0</v>
      </c>
      <c r="BY39" s="47">
        <f>IF(AH31 &lt;&gt; "", VLOOKUP(CONCATENATE("P", AH31), pointsSystem2, 3, FALSE), 0)</f>
        <v>0</v>
      </c>
      <c r="BZ39" s="6">
        <f>IF(AI31 &lt;&gt; "", VLOOKUP(CONCATENATE("P", AI31), pointsSystem2, 2, FALSE), 0)</f>
        <v>0</v>
      </c>
      <c r="CA39" s="47">
        <f>IF(AJ31 &lt;&gt; "", VLOOKUP(CONCATENATE("P", AJ31), pointsSystem2, 3, FALSE), 0)</f>
        <v>0</v>
      </c>
      <c r="CB39" s="6">
        <f>IF(AK31 &lt;&gt; "", VLOOKUP(CONCATENATE("P", AK31), pointsSystem2, 2, FALSE), 0)</f>
        <v>0</v>
      </c>
      <c r="CC39" s="47">
        <f>IF(AL31 &lt;&gt; "", VLOOKUP(CONCATENATE("P", AL31), pointsSystem2, 3, FALSE), 0)</f>
        <v>0</v>
      </c>
      <c r="CD39" s="6">
        <f>IF(AM31 &lt;&gt; "", VLOOKUP(CONCATENATE("P", AM31), pointsSystem2, 2, FALSE), 0)</f>
        <v>0</v>
      </c>
      <c r="CE39" s="47">
        <f>IF(AN31 &lt;&gt; "", VLOOKUP(CONCATENATE("P", AN31), pointsSystem2, 3, FALSE), 0)</f>
        <v>0</v>
      </c>
      <c r="CF39" s="6">
        <f>AO31 * 3</f>
        <v>0</v>
      </c>
      <c r="CG39" s="47">
        <f>AP31 * 1</f>
        <v>0</v>
      </c>
    </row>
    <row r="40" spans="2:155" ht="16.8" customHeight="1" x14ac:dyDescent="0.3">
      <c r="B40" s="8" t="s">
        <v>131</v>
      </c>
      <c r="C40" s="162" t="s">
        <v>557</v>
      </c>
      <c r="D40" s="162" t="s">
        <v>340</v>
      </c>
      <c r="E40" s="162" t="s">
        <v>711</v>
      </c>
      <c r="F40" s="71" t="s">
        <v>6</v>
      </c>
      <c r="G40" s="74" t="s">
        <v>9</v>
      </c>
      <c r="H40" s="78" t="s">
        <v>11</v>
      </c>
      <c r="I40" s="11">
        <f>SUM(BD17:CG17)</f>
        <v>0</v>
      </c>
      <c r="L40" s="162" t="s">
        <v>340</v>
      </c>
      <c r="M40" s="5" t="s">
        <v>131</v>
      </c>
      <c r="N40" s="16" t="s">
        <v>131</v>
      </c>
      <c r="O40" s="5" t="s">
        <v>131</v>
      </c>
      <c r="P40" s="16" t="s">
        <v>131</v>
      </c>
      <c r="Q40" s="5" t="s">
        <v>131</v>
      </c>
      <c r="R40" s="16" t="s">
        <v>131</v>
      </c>
      <c r="S40" s="5" t="s">
        <v>131</v>
      </c>
      <c r="T40" s="16" t="s">
        <v>131</v>
      </c>
      <c r="U40" s="5" t="s">
        <v>131</v>
      </c>
      <c r="V40" s="16" t="s">
        <v>131</v>
      </c>
      <c r="W40" s="5" t="s">
        <v>131</v>
      </c>
      <c r="X40" s="16" t="s">
        <v>131</v>
      </c>
      <c r="Y40" s="5" t="s">
        <v>131</v>
      </c>
      <c r="Z40" s="16" t="s">
        <v>131</v>
      </c>
      <c r="AA40" s="5" t="s">
        <v>131</v>
      </c>
      <c r="AB40" s="16" t="s">
        <v>131</v>
      </c>
      <c r="AC40" s="5" t="s">
        <v>131</v>
      </c>
      <c r="AD40" s="16" t="s">
        <v>131</v>
      </c>
      <c r="AE40" s="5" t="s">
        <v>131</v>
      </c>
      <c r="AF40" s="16" t="s">
        <v>131</v>
      </c>
      <c r="AG40" s="5" t="s">
        <v>131</v>
      </c>
      <c r="AH40" s="16" t="s">
        <v>131</v>
      </c>
      <c r="AI40" s="5" t="s">
        <v>131</v>
      </c>
      <c r="AJ40" s="16" t="s">
        <v>131</v>
      </c>
      <c r="AK40" s="5" t="s">
        <v>131</v>
      </c>
      <c r="AL40" s="16" t="s">
        <v>131</v>
      </c>
      <c r="AM40" s="5" t="s">
        <v>131</v>
      </c>
      <c r="AN40" s="16" t="s">
        <v>131</v>
      </c>
      <c r="AO40" s="5"/>
      <c r="AP40" s="16"/>
      <c r="AS40" s="10">
        <f>1 + 3 + 30 + 20</f>
        <v>54</v>
      </c>
      <c r="AT40" s="180" t="s">
        <v>404</v>
      </c>
      <c r="AU40" s="182"/>
      <c r="AX40" s="71" t="s">
        <v>125</v>
      </c>
      <c r="AY40" s="76" t="s">
        <v>596</v>
      </c>
      <c r="AZ40" s="72" t="s">
        <v>598</v>
      </c>
      <c r="BC40" s="65" t="s">
        <v>681</v>
      </c>
      <c r="BD40" s="6">
        <f>IF(M32 &lt;&gt; "", VLOOKUP(CONCATENATE("P", M32), pointsSystem2, 2, FALSE), 0)</f>
        <v>0</v>
      </c>
      <c r="BE40" s="47">
        <f>IF(N32 &lt;&gt; "", VLOOKUP(CONCATENATE("P", N32), pointsSystem2, 3, FALSE), 0)</f>
        <v>0</v>
      </c>
      <c r="BF40" s="6">
        <f>IF(O32 &lt;&gt; "", VLOOKUP(CONCATENATE("P", O32), pointsSystem2, 2, FALSE), 0)</f>
        <v>0</v>
      </c>
      <c r="BG40" s="47">
        <f>IF(P32 &lt;&gt; "", VLOOKUP(CONCATENATE("P", P32), pointsSystem2, 3, FALSE), 0)</f>
        <v>0</v>
      </c>
      <c r="BH40" s="6">
        <f>IF(Q32 &lt;&gt; "", VLOOKUP(CONCATENATE("P", Q32), pointsSystem2, 2, FALSE), 0)</f>
        <v>0</v>
      </c>
      <c r="BI40" s="47">
        <f>IF(R32 &lt;&gt; "", VLOOKUP(CONCATENATE("P", R32), pointsSystem2, 3, FALSE), 0)</f>
        <v>0</v>
      </c>
      <c r="BJ40" s="6">
        <f>IF(S32 &lt;&gt; "", VLOOKUP(CONCATENATE("P", S32), pointsSystem2, 2, FALSE), 0)</f>
        <v>0</v>
      </c>
      <c r="BK40" s="47">
        <f>IF(T32 &lt;&gt; "", VLOOKUP(CONCATENATE("P", T32), pointsSystem2, 3, FALSE), 0)</f>
        <v>0</v>
      </c>
      <c r="BL40" s="6">
        <f>IF(U32 &lt;&gt; "", VLOOKUP(CONCATENATE("P", U32), pointsSystem2, 2, FALSE), 0)</f>
        <v>0</v>
      </c>
      <c r="BM40" s="47">
        <f>IF(V32 &lt;&gt; "", VLOOKUP(CONCATENATE("P", V32), pointsSystem2, 3, FALSE), 0)</f>
        <v>0</v>
      </c>
      <c r="BN40" s="6">
        <f>IF(W32 &lt;&gt; "", VLOOKUP(CONCATENATE("P", W32), pointsSystem2, 2, FALSE), 0)</f>
        <v>0</v>
      </c>
      <c r="BO40" s="47">
        <f>IF(X32 &lt;&gt; "", VLOOKUP(CONCATENATE("P", X32), pointsSystem2, 3, FALSE), 0)</f>
        <v>0</v>
      </c>
      <c r="BP40" s="6">
        <f>IF(Y32 &lt;&gt; "", VLOOKUP(CONCATENATE("P", Y32), pointsSystem2, 2, FALSE), 0)</f>
        <v>0</v>
      </c>
      <c r="BQ40" s="47">
        <f>IF(Z32 &lt;&gt; "", VLOOKUP(CONCATENATE("P", Z32), pointsSystem2, 3, FALSE), 0)</f>
        <v>0</v>
      </c>
      <c r="BR40" s="6">
        <f>IF(AA32 &lt;&gt; "", VLOOKUP(CONCATENATE("P", AA32), pointsSystem2, 2, FALSE), 0)</f>
        <v>0</v>
      </c>
      <c r="BS40" s="47">
        <f>IF(AB32 &lt;&gt; "", VLOOKUP(CONCATENATE("P", AB32), pointsSystem2, 3, FALSE), 0)</f>
        <v>0</v>
      </c>
      <c r="BT40" s="6">
        <f>IF(AC32 &lt;&gt; "", VLOOKUP(CONCATENATE("P", AC32), pointsSystem2, 2, FALSE), 0)</f>
        <v>0</v>
      </c>
      <c r="BU40" s="47">
        <f>IF(AD32 &lt;&gt; "", VLOOKUP(CONCATENATE("P", AD32), pointsSystem2, 3, FALSE), 0)</f>
        <v>0</v>
      </c>
      <c r="BV40" s="6">
        <f>IF(AE32 &lt;&gt; "", VLOOKUP(CONCATENATE("P", AE32), pointsSystem2, 2, FALSE), 0)</f>
        <v>0</v>
      </c>
      <c r="BW40" s="47">
        <f>IF(AF32 &lt;&gt; "", VLOOKUP(CONCATENATE("P", AF32), pointsSystem2, 3, FALSE), 0)</f>
        <v>0</v>
      </c>
      <c r="BX40" s="6">
        <f>IF(AG32 &lt;&gt; "", VLOOKUP(CONCATENATE("P", AG32), pointsSystem2, 2, FALSE), 0)</f>
        <v>0</v>
      </c>
      <c r="BY40" s="47">
        <f>IF(AH32 &lt;&gt; "", VLOOKUP(CONCATENATE("P", AH32), pointsSystem2, 3, FALSE), 0)</f>
        <v>0</v>
      </c>
      <c r="BZ40" s="6">
        <f>IF(AI32 &lt;&gt; "", VLOOKUP(CONCATENATE("P", AI32), pointsSystem2, 2, FALSE), 0)</f>
        <v>0</v>
      </c>
      <c r="CA40" s="47">
        <f>IF(AJ32 &lt;&gt; "", VLOOKUP(CONCATENATE("P", AJ32), pointsSystem2, 3, FALSE), 0)</f>
        <v>0</v>
      </c>
      <c r="CB40" s="6">
        <f>IF(AK32 &lt;&gt; "", VLOOKUP(CONCATENATE("P", AK32), pointsSystem2, 2, FALSE), 0)</f>
        <v>0</v>
      </c>
      <c r="CC40" s="47">
        <f>IF(AL32 &lt;&gt; "", VLOOKUP(CONCATENATE("P", AL32), pointsSystem2, 3, FALSE), 0)</f>
        <v>0</v>
      </c>
      <c r="CD40" s="6">
        <f>IF(AM32 &lt;&gt; "", VLOOKUP(CONCATENATE("P", AM32), pointsSystem2, 2, FALSE), 0)</f>
        <v>0</v>
      </c>
      <c r="CE40" s="47">
        <f>IF(AN32 &lt;&gt; "", VLOOKUP(CONCATENATE("P", AN32), pointsSystem2, 3, FALSE), 0)</f>
        <v>0</v>
      </c>
      <c r="CF40" s="6">
        <f>AO32 * 3</f>
        <v>0</v>
      </c>
      <c r="CG40" s="47">
        <f>AP32 * 1</f>
        <v>0</v>
      </c>
    </row>
    <row r="41" spans="2:155" ht="16.8" customHeight="1" thickBot="1" x14ac:dyDescent="0.35">
      <c r="B41" s="8" t="s">
        <v>131</v>
      </c>
      <c r="C41" s="139" t="s">
        <v>559</v>
      </c>
      <c r="D41" s="139" t="s">
        <v>340</v>
      </c>
      <c r="E41" s="139" t="s">
        <v>607</v>
      </c>
      <c r="F41" s="72" t="s">
        <v>439</v>
      </c>
      <c r="G41" s="76" t="s">
        <v>10</v>
      </c>
      <c r="H41" s="67" t="s">
        <v>13</v>
      </c>
      <c r="I41" s="11">
        <f>SUM(BD21:CG21)</f>
        <v>0</v>
      </c>
      <c r="L41" s="139" t="s">
        <v>340</v>
      </c>
      <c r="M41" s="5" t="s">
        <v>131</v>
      </c>
      <c r="N41" s="16" t="s">
        <v>131</v>
      </c>
      <c r="O41" s="5" t="s">
        <v>131</v>
      </c>
      <c r="P41" s="16" t="s">
        <v>131</v>
      </c>
      <c r="Q41" s="5" t="s">
        <v>131</v>
      </c>
      <c r="R41" s="16" t="s">
        <v>131</v>
      </c>
      <c r="S41" s="5" t="s">
        <v>131</v>
      </c>
      <c r="T41" s="16" t="s">
        <v>131</v>
      </c>
      <c r="U41" s="5" t="s">
        <v>131</v>
      </c>
      <c r="V41" s="16" t="s">
        <v>131</v>
      </c>
      <c r="W41" s="5" t="s">
        <v>131</v>
      </c>
      <c r="X41" s="16" t="s">
        <v>131</v>
      </c>
      <c r="Y41" s="5" t="s">
        <v>131</v>
      </c>
      <c r="Z41" s="16" t="s">
        <v>131</v>
      </c>
      <c r="AA41" s="5" t="s">
        <v>131</v>
      </c>
      <c r="AB41" s="16" t="s">
        <v>131</v>
      </c>
      <c r="AC41" s="5" t="s">
        <v>131</v>
      </c>
      <c r="AD41" s="16" t="s">
        <v>131</v>
      </c>
      <c r="AE41" s="5" t="s">
        <v>131</v>
      </c>
      <c r="AF41" s="16" t="s">
        <v>131</v>
      </c>
      <c r="AG41" s="5" t="s">
        <v>131</v>
      </c>
      <c r="AH41" s="16" t="s">
        <v>131</v>
      </c>
      <c r="AI41" s="5" t="s">
        <v>131</v>
      </c>
      <c r="AJ41" s="16" t="s">
        <v>131</v>
      </c>
      <c r="AK41" s="5" t="s">
        <v>131</v>
      </c>
      <c r="AL41" s="16" t="s">
        <v>131</v>
      </c>
      <c r="AM41" s="5" t="s">
        <v>131</v>
      </c>
      <c r="AN41" s="16" t="s">
        <v>131</v>
      </c>
      <c r="AO41" s="5"/>
      <c r="AP41" s="16"/>
      <c r="AS41" s="12">
        <f>AS40 + (22 + 15)</f>
        <v>91</v>
      </c>
      <c r="AT41" s="171" t="s">
        <v>581</v>
      </c>
      <c r="AU41" s="173"/>
      <c r="AX41" s="71" t="s">
        <v>125</v>
      </c>
      <c r="AY41" s="76" t="s">
        <v>596</v>
      </c>
      <c r="AZ41" s="72" t="s">
        <v>598</v>
      </c>
      <c r="BC41" s="36" t="s">
        <v>340</v>
      </c>
      <c r="BD41" s="6">
        <f>IF(M46 &lt;&gt; "", VLOOKUP(CONCATENATE("P", M46), pointsSystem2, 2, FALSE), 0)</f>
        <v>0</v>
      </c>
      <c r="BE41" s="47">
        <f>IF(N46 &lt;&gt; "", VLOOKUP(CONCATENATE("P", N46), pointsSystem2, 3, FALSE), 0)</f>
        <v>0</v>
      </c>
      <c r="BF41" s="6">
        <f>IF(O46 &lt;&gt; "", VLOOKUP(CONCATENATE("P", O46), pointsSystem2, 2, FALSE), 0)</f>
        <v>0</v>
      </c>
      <c r="BG41" s="47">
        <f>IF(P46 &lt;&gt; "", VLOOKUP(CONCATENATE("P", P46), pointsSystem2, 3, FALSE), 0)</f>
        <v>0</v>
      </c>
      <c r="BH41" s="6">
        <f>IF(Q46 &lt;&gt; "", VLOOKUP(CONCATENATE("P", Q46), pointsSystem2, 2, FALSE), 0)</f>
        <v>0</v>
      </c>
      <c r="BI41" s="47">
        <f>IF(R46 &lt;&gt; "", VLOOKUP(CONCATENATE("P", R46), pointsSystem2, 3, FALSE), 0)</f>
        <v>0</v>
      </c>
      <c r="BJ41" s="6">
        <f>IF(S46 &lt;&gt; "", VLOOKUP(CONCATENATE("P", S46), pointsSystem2, 2, FALSE), 0)</f>
        <v>0</v>
      </c>
      <c r="BK41" s="47">
        <f>IF(T46 &lt;&gt; "", VLOOKUP(CONCATENATE("P", T46), pointsSystem2, 3, FALSE), 0)</f>
        <v>0</v>
      </c>
      <c r="BL41" s="6">
        <f>IF(U46 &lt;&gt; "", VLOOKUP(CONCATENATE("P", U46), pointsSystem2, 2, FALSE), 0)</f>
        <v>0</v>
      </c>
      <c r="BM41" s="47">
        <f>IF(V46 &lt;&gt; "", VLOOKUP(CONCATENATE("P", V46), pointsSystem2, 3, FALSE), 0)</f>
        <v>0</v>
      </c>
      <c r="BN41" s="6">
        <f>IF(W46 &lt;&gt; "", VLOOKUP(CONCATENATE("P", W46), pointsSystem2, 2, FALSE), 0)</f>
        <v>0</v>
      </c>
      <c r="BO41" s="47">
        <f>IF(X46 &lt;&gt; "", VLOOKUP(CONCATENATE("P", X46), pointsSystem2, 3, FALSE), 0)</f>
        <v>0</v>
      </c>
      <c r="BP41" s="6">
        <f>IF(Y46 &lt;&gt; "", VLOOKUP(CONCATENATE("P", Y46), pointsSystem2, 2, FALSE), 0)</f>
        <v>0</v>
      </c>
      <c r="BQ41" s="47">
        <f>IF(Z46 &lt;&gt; "", VLOOKUP(CONCATENATE("P", Z46), pointsSystem2, 3, FALSE), 0)</f>
        <v>0</v>
      </c>
      <c r="BR41" s="6">
        <f>IF(AA46 &lt;&gt; "", VLOOKUP(CONCATENATE("P", AA46), pointsSystem2, 2, FALSE), 0)</f>
        <v>0</v>
      </c>
      <c r="BS41" s="47">
        <f>IF(AB46 &lt;&gt; "", VLOOKUP(CONCATENATE("P", AB46), pointsSystem2, 3, FALSE), 0)</f>
        <v>0</v>
      </c>
      <c r="BT41" s="6">
        <f>IF(AC46 &lt;&gt; "", VLOOKUP(CONCATENATE("P", AC46), pointsSystem2, 2, FALSE), 0)</f>
        <v>0</v>
      </c>
      <c r="BU41" s="47">
        <f>IF(AD46 &lt;&gt; "", VLOOKUP(CONCATENATE("P", AD46), pointsSystem2, 3, FALSE), 0)</f>
        <v>0</v>
      </c>
      <c r="BV41" s="6">
        <f>IF(AE46 &lt;&gt; "", VLOOKUP(CONCATENATE("P", AE46), pointsSystem2, 2, FALSE), 0)</f>
        <v>0</v>
      </c>
      <c r="BW41" s="47">
        <f>IF(AF46 &lt;&gt; "", VLOOKUP(CONCATENATE("P", AF46), pointsSystem2, 3, FALSE), 0)</f>
        <v>0</v>
      </c>
      <c r="BX41" s="6">
        <f>IF(AG46 &lt;&gt; "", VLOOKUP(CONCATENATE("P", AG46), pointsSystem2, 2, FALSE), 0)</f>
        <v>0</v>
      </c>
      <c r="BY41" s="47">
        <f>IF(AH46 &lt;&gt; "", VLOOKUP(CONCATENATE("P", AH46), pointsSystem2, 3, FALSE), 0)</f>
        <v>0</v>
      </c>
      <c r="BZ41" s="6">
        <f>IF(AI46 &lt;&gt; "", VLOOKUP(CONCATENATE("P", AI46), pointsSystem2, 2, FALSE), 0)</f>
        <v>0</v>
      </c>
      <c r="CA41" s="47">
        <f>IF(AJ46 &lt;&gt; "", VLOOKUP(CONCATENATE("P", AJ46), pointsSystem2, 3, FALSE), 0)</f>
        <v>0</v>
      </c>
      <c r="CB41" s="6">
        <f>IF(AK46 &lt;&gt; "", VLOOKUP(CONCATENATE("P", AK46), pointsSystem2, 2, FALSE), 0)</f>
        <v>0</v>
      </c>
      <c r="CC41" s="47">
        <f>IF(AL46 &lt;&gt; "", VLOOKUP(CONCATENATE("P", AL46), pointsSystem2, 3, FALSE), 0)</f>
        <v>0</v>
      </c>
      <c r="CD41" s="6">
        <f>IF(AM46 &lt;&gt; "", VLOOKUP(CONCATENATE("P", AM46), pointsSystem2, 2, FALSE), 0)</f>
        <v>0</v>
      </c>
      <c r="CE41" s="47">
        <f>IF(AN46 &lt;&gt; "", VLOOKUP(CONCATENATE("P", AN46), pointsSystem2, 3, FALSE), 0)</f>
        <v>0</v>
      </c>
      <c r="CF41" s="6">
        <f>AO46 * 3</f>
        <v>0</v>
      </c>
      <c r="CG41" s="47">
        <f>AP46 * 1</f>
        <v>0</v>
      </c>
    </row>
    <row r="42" spans="2:155" ht="16.8" customHeight="1" x14ac:dyDescent="0.3">
      <c r="B42" s="8" t="s">
        <v>131</v>
      </c>
      <c r="C42" s="43" t="s">
        <v>287</v>
      </c>
      <c r="D42" s="43" t="s">
        <v>340</v>
      </c>
      <c r="E42" s="43" t="s">
        <v>437</v>
      </c>
      <c r="F42" s="70" t="s">
        <v>34</v>
      </c>
      <c r="G42" s="76" t="s">
        <v>10</v>
      </c>
      <c r="H42" s="72" t="s">
        <v>12</v>
      </c>
      <c r="I42" s="11">
        <f>SUM(BD25:CG25)</f>
        <v>0</v>
      </c>
      <c r="L42" s="43" t="s">
        <v>340</v>
      </c>
      <c r="M42" s="5" t="s">
        <v>131</v>
      </c>
      <c r="N42" s="16" t="s">
        <v>131</v>
      </c>
      <c r="O42" s="5" t="s">
        <v>131</v>
      </c>
      <c r="P42" s="16" t="s">
        <v>131</v>
      </c>
      <c r="Q42" s="5" t="s">
        <v>131</v>
      </c>
      <c r="R42" s="16" t="s">
        <v>131</v>
      </c>
      <c r="S42" s="5" t="s">
        <v>131</v>
      </c>
      <c r="T42" s="16" t="s">
        <v>131</v>
      </c>
      <c r="U42" s="5" t="s">
        <v>131</v>
      </c>
      <c r="V42" s="16" t="s">
        <v>131</v>
      </c>
      <c r="W42" s="5" t="s">
        <v>131</v>
      </c>
      <c r="X42" s="16" t="s">
        <v>131</v>
      </c>
      <c r="Y42" s="5" t="s">
        <v>131</v>
      </c>
      <c r="Z42" s="16" t="s">
        <v>131</v>
      </c>
      <c r="AA42" s="5" t="s">
        <v>131</v>
      </c>
      <c r="AB42" s="16" t="s">
        <v>131</v>
      </c>
      <c r="AC42" s="5" t="s">
        <v>131</v>
      </c>
      <c r="AD42" s="16" t="s">
        <v>131</v>
      </c>
      <c r="AE42" s="5" t="s">
        <v>131</v>
      </c>
      <c r="AF42" s="16" t="s">
        <v>131</v>
      </c>
      <c r="AG42" s="5" t="s">
        <v>131</v>
      </c>
      <c r="AH42" s="16" t="s">
        <v>131</v>
      </c>
      <c r="AI42" s="5" t="s">
        <v>131</v>
      </c>
      <c r="AJ42" s="16" t="s">
        <v>131</v>
      </c>
      <c r="AK42" s="5" t="s">
        <v>131</v>
      </c>
      <c r="AL42" s="16" t="s">
        <v>131</v>
      </c>
      <c r="AM42" s="5" t="s">
        <v>131</v>
      </c>
      <c r="AN42" s="16" t="s">
        <v>131</v>
      </c>
      <c r="AO42" s="5"/>
      <c r="AP42" s="16"/>
      <c r="AX42" s="68" t="s">
        <v>593</v>
      </c>
      <c r="AY42" s="66" t="s">
        <v>595</v>
      </c>
      <c r="AZ42" s="78" t="s">
        <v>599</v>
      </c>
      <c r="BC42" s="131" t="s">
        <v>633</v>
      </c>
      <c r="BD42" s="6">
        <f>IF(M33 &lt;&gt; "", VLOOKUP(CONCATENATE("P", M33), pointsSystem2, 2, FALSE), 0)</f>
        <v>0</v>
      </c>
      <c r="BE42" s="47">
        <f>IF(N33 &lt;&gt; "", VLOOKUP(CONCATENATE("P", N33), pointsSystem2, 3, FALSE), 0)</f>
        <v>0</v>
      </c>
      <c r="BF42" s="6">
        <f>IF(O33 &lt;&gt; "", VLOOKUP(CONCATENATE("P", O33), pointsSystem2, 2, FALSE), 0)</f>
        <v>0</v>
      </c>
      <c r="BG42" s="47">
        <f>IF(P33 &lt;&gt; "", VLOOKUP(CONCATENATE("P", P33), pointsSystem2, 3, FALSE), 0)</f>
        <v>0</v>
      </c>
      <c r="BH42" s="6">
        <f>IF(Q33 &lt;&gt; "", VLOOKUP(CONCATENATE("P", Q33), pointsSystem2, 2, FALSE), 0)</f>
        <v>0</v>
      </c>
      <c r="BI42" s="47">
        <f>IF(R33 &lt;&gt; "", VLOOKUP(CONCATENATE("P", R33), pointsSystem2, 3, FALSE), 0)</f>
        <v>0</v>
      </c>
      <c r="BJ42" s="6">
        <f>IF(S33 &lt;&gt; "", VLOOKUP(CONCATENATE("P", S33), pointsSystem2, 2, FALSE), 0)</f>
        <v>0</v>
      </c>
      <c r="BK42" s="47">
        <f>IF(T33 &lt;&gt; "", VLOOKUP(CONCATENATE("P", T33), pointsSystem2, 3, FALSE), 0)</f>
        <v>0</v>
      </c>
      <c r="BL42" s="6">
        <f>IF(U33 &lt;&gt; "", VLOOKUP(CONCATENATE("P", U33), pointsSystem2, 2, FALSE), 0)</f>
        <v>0</v>
      </c>
      <c r="BM42" s="47">
        <f>IF(V33 &lt;&gt; "", VLOOKUP(CONCATENATE("P", V33), pointsSystem2, 3, FALSE), 0)</f>
        <v>0</v>
      </c>
      <c r="BN42" s="6">
        <f>IF(W33 &lt;&gt; "", VLOOKUP(CONCATENATE("P", W33), pointsSystem2, 2, FALSE), 0)</f>
        <v>0</v>
      </c>
      <c r="BO42" s="47">
        <f>IF(X33 &lt;&gt; "", VLOOKUP(CONCATENATE("P", X33), pointsSystem2, 3, FALSE), 0)</f>
        <v>0</v>
      </c>
      <c r="BP42" s="6">
        <f>IF(Y33 &lt;&gt; "", VLOOKUP(CONCATENATE("P", Y33), pointsSystem2, 2, FALSE), 0)</f>
        <v>0</v>
      </c>
      <c r="BQ42" s="47">
        <f>IF(Z33 &lt;&gt; "", VLOOKUP(CONCATENATE("P", Z33), pointsSystem2, 3, FALSE), 0)</f>
        <v>0</v>
      </c>
      <c r="BR42" s="6">
        <f>IF(AA33 &lt;&gt; "", VLOOKUP(CONCATENATE("P", AA33), pointsSystem2, 2, FALSE), 0)</f>
        <v>0</v>
      </c>
      <c r="BS42" s="47">
        <f>IF(AB33 &lt;&gt; "", VLOOKUP(CONCATENATE("P", AB33), pointsSystem2, 3, FALSE), 0)</f>
        <v>0</v>
      </c>
      <c r="BT42" s="6">
        <f>IF(AC33 &lt;&gt; "", VLOOKUP(CONCATENATE("P", AC33), pointsSystem2, 2, FALSE), 0)</f>
        <v>0</v>
      </c>
      <c r="BU42" s="47">
        <f>IF(AD33 &lt;&gt; "", VLOOKUP(CONCATENATE("P", AD33), pointsSystem2, 3, FALSE), 0)</f>
        <v>0</v>
      </c>
      <c r="BV42" s="6">
        <f>IF(AE33 &lt;&gt; "", VLOOKUP(CONCATENATE("P", AE33), pointsSystem2, 2, FALSE), 0)</f>
        <v>0</v>
      </c>
      <c r="BW42" s="47">
        <f>IF(AF33 &lt;&gt; "", VLOOKUP(CONCATENATE("P", AF33), pointsSystem2, 3, FALSE), 0)</f>
        <v>0</v>
      </c>
      <c r="BX42" s="6">
        <f>IF(AG33 &lt;&gt; "", VLOOKUP(CONCATENATE("P", AG33), pointsSystem2, 2, FALSE), 0)</f>
        <v>0</v>
      </c>
      <c r="BY42" s="47">
        <f>IF(AH33 &lt;&gt; "", VLOOKUP(CONCATENATE("P", AH33), pointsSystem2, 3, FALSE), 0)</f>
        <v>0</v>
      </c>
      <c r="BZ42" s="6">
        <f>IF(AI33 &lt;&gt; "", VLOOKUP(CONCATENATE("P", AI33), pointsSystem2, 2, FALSE), 0)</f>
        <v>0</v>
      </c>
      <c r="CA42" s="47">
        <f>IF(AJ33 &lt;&gt; "", VLOOKUP(CONCATENATE("P", AJ33), pointsSystem2, 3, FALSE), 0)</f>
        <v>0</v>
      </c>
      <c r="CB42" s="6">
        <f>IF(AK33 &lt;&gt; "", VLOOKUP(CONCATENATE("P", AK33), pointsSystem2, 2, FALSE), 0)</f>
        <v>0</v>
      </c>
      <c r="CC42" s="47">
        <f>IF(AL33 &lt;&gt; "", VLOOKUP(CONCATENATE("P", AL33), pointsSystem2, 3, FALSE), 0)</f>
        <v>0</v>
      </c>
      <c r="CD42" s="6">
        <f>IF(AM33 &lt;&gt; "", VLOOKUP(CONCATENATE("P", AM33), pointsSystem2, 2, FALSE), 0)</f>
        <v>0</v>
      </c>
      <c r="CE42" s="47">
        <f>IF(AN33 &lt;&gt; "", VLOOKUP(CONCATENATE("P", AN33), pointsSystem2, 3, FALSE), 0)</f>
        <v>0</v>
      </c>
      <c r="CF42" s="6">
        <f>AO33 * 3</f>
        <v>0</v>
      </c>
      <c r="CG42" s="47">
        <f>AP33 * 1</f>
        <v>0</v>
      </c>
    </row>
    <row r="43" spans="2:155" ht="16.8" customHeight="1" x14ac:dyDescent="0.3">
      <c r="B43" s="8" t="s">
        <v>131</v>
      </c>
      <c r="C43" s="40" t="s">
        <v>243</v>
      </c>
      <c r="D43" s="40" t="s">
        <v>340</v>
      </c>
      <c r="E43" s="40" t="s">
        <v>325</v>
      </c>
      <c r="F43" s="69" t="s">
        <v>5</v>
      </c>
      <c r="G43" s="74" t="s">
        <v>9</v>
      </c>
      <c r="H43" s="72" t="s">
        <v>12</v>
      </c>
      <c r="I43" s="11">
        <f>SUM(BD29:CG29)</f>
        <v>0</v>
      </c>
      <c r="L43" s="40" t="s">
        <v>340</v>
      </c>
      <c r="M43" s="5" t="s">
        <v>131</v>
      </c>
      <c r="N43" s="16" t="s">
        <v>131</v>
      </c>
      <c r="O43" s="5" t="s">
        <v>131</v>
      </c>
      <c r="P43" s="16" t="s">
        <v>131</v>
      </c>
      <c r="Q43" s="5" t="s">
        <v>131</v>
      </c>
      <c r="R43" s="16" t="s">
        <v>131</v>
      </c>
      <c r="S43" s="5" t="s">
        <v>131</v>
      </c>
      <c r="T43" s="16" t="s">
        <v>131</v>
      </c>
      <c r="U43" s="5" t="s">
        <v>131</v>
      </c>
      <c r="V43" s="16" t="s">
        <v>131</v>
      </c>
      <c r="W43" s="5" t="s">
        <v>131</v>
      </c>
      <c r="X43" s="16" t="s">
        <v>131</v>
      </c>
      <c r="Y43" s="5" t="s">
        <v>131</v>
      </c>
      <c r="Z43" s="16" t="s">
        <v>131</v>
      </c>
      <c r="AA43" s="5" t="s">
        <v>131</v>
      </c>
      <c r="AB43" s="16" t="s">
        <v>131</v>
      </c>
      <c r="AC43" s="5" t="s">
        <v>131</v>
      </c>
      <c r="AD43" s="16" t="s">
        <v>131</v>
      </c>
      <c r="AE43" s="5" t="s">
        <v>131</v>
      </c>
      <c r="AF43" s="16" t="s">
        <v>131</v>
      </c>
      <c r="AG43" s="5" t="s">
        <v>131</v>
      </c>
      <c r="AH43" s="16" t="s">
        <v>131</v>
      </c>
      <c r="AI43" s="5" t="s">
        <v>131</v>
      </c>
      <c r="AJ43" s="16" t="s">
        <v>131</v>
      </c>
      <c r="AK43" s="5" t="s">
        <v>131</v>
      </c>
      <c r="AL43" s="16" t="s">
        <v>131</v>
      </c>
      <c r="AM43" s="5" t="s">
        <v>131</v>
      </c>
      <c r="AN43" s="16" t="s">
        <v>131</v>
      </c>
      <c r="AO43" s="5"/>
      <c r="AP43" s="16"/>
      <c r="AX43" s="68" t="s">
        <v>593</v>
      </c>
      <c r="AY43" s="66" t="s">
        <v>595</v>
      </c>
      <c r="AZ43" s="78" t="s">
        <v>599</v>
      </c>
      <c r="BC43" s="131" t="s">
        <v>62</v>
      </c>
      <c r="BD43" s="6">
        <f>IF(M34 &lt;&gt; "", VLOOKUP(CONCATENATE("P", M34), pointsSystem2, 2, FALSE), 0)</f>
        <v>0</v>
      </c>
      <c r="BE43" s="47">
        <f>IF(N34 &lt;&gt; "", VLOOKUP(CONCATENATE("P", N34), pointsSystem2, 3, FALSE), 0)</f>
        <v>0</v>
      </c>
      <c r="BF43" s="6">
        <f>IF(O34 &lt;&gt; "", VLOOKUP(CONCATENATE("P", O34), pointsSystem2, 2, FALSE), 0)</f>
        <v>0</v>
      </c>
      <c r="BG43" s="47">
        <f>IF(P34 &lt;&gt; "", VLOOKUP(CONCATENATE("P", P34), pointsSystem2, 3, FALSE), 0)</f>
        <v>0</v>
      </c>
      <c r="BH43" s="6">
        <f>IF(Q34 &lt;&gt; "", VLOOKUP(CONCATENATE("P", Q34), pointsSystem2, 2, FALSE), 0)</f>
        <v>0</v>
      </c>
      <c r="BI43" s="47">
        <f>IF(R34 &lt;&gt; "", VLOOKUP(CONCATENATE("P", R34), pointsSystem2, 3, FALSE), 0)</f>
        <v>0</v>
      </c>
      <c r="BJ43" s="6">
        <f>IF(S34 &lt;&gt; "", VLOOKUP(CONCATENATE("P", S34), pointsSystem2, 2, FALSE), 0)</f>
        <v>0</v>
      </c>
      <c r="BK43" s="47">
        <f>IF(T34 &lt;&gt; "", VLOOKUP(CONCATENATE("P", T34), pointsSystem2, 3, FALSE), 0)</f>
        <v>0</v>
      </c>
      <c r="BL43" s="6">
        <f>IF(U34 &lt;&gt; "", VLOOKUP(CONCATENATE("P", U34), pointsSystem2, 2, FALSE), 0)</f>
        <v>0</v>
      </c>
      <c r="BM43" s="47">
        <f>IF(V34 &lt;&gt; "", VLOOKUP(CONCATENATE("P", V34), pointsSystem2, 3, FALSE), 0)</f>
        <v>0</v>
      </c>
      <c r="BN43" s="6">
        <f>IF(W34 &lt;&gt; "", VLOOKUP(CONCATENATE("P", W34), pointsSystem2, 2, FALSE), 0)</f>
        <v>0</v>
      </c>
      <c r="BO43" s="47">
        <f>IF(X34 &lt;&gt; "", VLOOKUP(CONCATENATE("P", X34), pointsSystem2, 3, FALSE), 0)</f>
        <v>0</v>
      </c>
      <c r="BP43" s="6">
        <f>IF(Y34 &lt;&gt; "", VLOOKUP(CONCATENATE("P", Y34), pointsSystem2, 2, FALSE), 0)</f>
        <v>0</v>
      </c>
      <c r="BQ43" s="47">
        <f>IF(Z34 &lt;&gt; "", VLOOKUP(CONCATENATE("P", Z34), pointsSystem2, 3, FALSE), 0)</f>
        <v>0</v>
      </c>
      <c r="BR43" s="6">
        <f>IF(AA34 &lt;&gt; "", VLOOKUP(CONCATENATE("P", AA34), pointsSystem2, 2, FALSE), 0)</f>
        <v>0</v>
      </c>
      <c r="BS43" s="47">
        <f>IF(AB34 &lt;&gt; "", VLOOKUP(CONCATENATE("P", AB34), pointsSystem2, 3, FALSE), 0)</f>
        <v>0</v>
      </c>
      <c r="BT43" s="6">
        <f>IF(AC34 &lt;&gt; "", VLOOKUP(CONCATENATE("P", AC34), pointsSystem2, 2, FALSE), 0)</f>
        <v>0</v>
      </c>
      <c r="BU43" s="47">
        <f>IF(AD34 &lt;&gt; "", VLOOKUP(CONCATENATE("P", AD34), pointsSystem2, 3, FALSE), 0)</f>
        <v>0</v>
      </c>
      <c r="BV43" s="6">
        <f>IF(AE34 &lt;&gt; "", VLOOKUP(CONCATENATE("P", AE34), pointsSystem2, 2, FALSE), 0)</f>
        <v>0</v>
      </c>
      <c r="BW43" s="47">
        <f>IF(AF34 &lt;&gt; "", VLOOKUP(CONCATENATE("P", AF34), pointsSystem2, 3, FALSE), 0)</f>
        <v>0</v>
      </c>
      <c r="BX43" s="6">
        <f>IF(AG34 &lt;&gt; "", VLOOKUP(CONCATENATE("P", AG34), pointsSystem2, 2, FALSE), 0)</f>
        <v>0</v>
      </c>
      <c r="BY43" s="47">
        <f>IF(AH34 &lt;&gt; "", VLOOKUP(CONCATENATE("P", AH34), pointsSystem2, 3, FALSE), 0)</f>
        <v>0</v>
      </c>
      <c r="BZ43" s="6">
        <f>IF(AI34 &lt;&gt; "", VLOOKUP(CONCATENATE("P", AI34), pointsSystem2, 2, FALSE), 0)</f>
        <v>0</v>
      </c>
      <c r="CA43" s="47">
        <f>IF(AJ34 &lt;&gt; "", VLOOKUP(CONCATENATE("P", AJ34), pointsSystem2, 3, FALSE), 0)</f>
        <v>0</v>
      </c>
      <c r="CB43" s="6">
        <f>IF(AK34 &lt;&gt; "", VLOOKUP(CONCATENATE("P", AK34), pointsSystem2, 2, FALSE), 0)</f>
        <v>0</v>
      </c>
      <c r="CC43" s="47">
        <f>IF(AL34 &lt;&gt; "", VLOOKUP(CONCATENATE("P", AL34), pointsSystem2, 3, FALSE), 0)</f>
        <v>0</v>
      </c>
      <c r="CD43" s="6">
        <f>IF(AM34 &lt;&gt; "", VLOOKUP(CONCATENATE("P", AM34), pointsSystem2, 2, FALSE), 0)</f>
        <v>0</v>
      </c>
      <c r="CE43" s="47">
        <f>IF(AN34 &lt;&gt; "", VLOOKUP(CONCATENATE("P", AN34), pointsSystem2, 3, FALSE), 0)</f>
        <v>0</v>
      </c>
      <c r="CF43" s="6">
        <f>AO34 * 3</f>
        <v>0</v>
      </c>
      <c r="CG43" s="47">
        <f>AP34 * 1</f>
        <v>0</v>
      </c>
    </row>
    <row r="44" spans="2:155" ht="16.8" customHeight="1" x14ac:dyDescent="0.3">
      <c r="B44" s="8" t="s">
        <v>131</v>
      </c>
      <c r="C44" s="42" t="s">
        <v>187</v>
      </c>
      <c r="D44" s="42" t="s">
        <v>340</v>
      </c>
      <c r="E44" s="42" t="s">
        <v>335</v>
      </c>
      <c r="F44" s="70" t="s">
        <v>34</v>
      </c>
      <c r="G44" s="75" t="s">
        <v>8</v>
      </c>
      <c r="H44" s="72" t="s">
        <v>12</v>
      </c>
      <c r="I44" s="11">
        <f>SUM(BD33:CG33)</f>
        <v>0</v>
      </c>
      <c r="L44" s="42" t="s">
        <v>340</v>
      </c>
      <c r="M44" s="5" t="s">
        <v>131</v>
      </c>
      <c r="N44" s="16" t="s">
        <v>131</v>
      </c>
      <c r="O44" s="5" t="s">
        <v>131</v>
      </c>
      <c r="P44" s="16" t="s">
        <v>131</v>
      </c>
      <c r="Q44" s="5" t="s">
        <v>131</v>
      </c>
      <c r="R44" s="16" t="s">
        <v>131</v>
      </c>
      <c r="S44" s="5" t="s">
        <v>131</v>
      </c>
      <c r="T44" s="16" t="s">
        <v>131</v>
      </c>
      <c r="U44" s="5" t="s">
        <v>131</v>
      </c>
      <c r="V44" s="16" t="s">
        <v>131</v>
      </c>
      <c r="W44" s="5" t="s">
        <v>131</v>
      </c>
      <c r="X44" s="16" t="s">
        <v>131</v>
      </c>
      <c r="Y44" s="5" t="s">
        <v>131</v>
      </c>
      <c r="Z44" s="16" t="s">
        <v>131</v>
      </c>
      <c r="AA44" s="5" t="s">
        <v>131</v>
      </c>
      <c r="AB44" s="16" t="s">
        <v>131</v>
      </c>
      <c r="AC44" s="5" t="s">
        <v>131</v>
      </c>
      <c r="AD44" s="16" t="s">
        <v>131</v>
      </c>
      <c r="AE44" s="5" t="s">
        <v>131</v>
      </c>
      <c r="AF44" s="16" t="s">
        <v>131</v>
      </c>
      <c r="AG44" s="5" t="s">
        <v>131</v>
      </c>
      <c r="AH44" s="16" t="s">
        <v>131</v>
      </c>
      <c r="AI44" s="5" t="s">
        <v>131</v>
      </c>
      <c r="AJ44" s="16" t="s">
        <v>131</v>
      </c>
      <c r="AK44" s="5" t="s">
        <v>131</v>
      </c>
      <c r="AL44" s="16" t="s">
        <v>131</v>
      </c>
      <c r="AM44" s="5" t="s">
        <v>131</v>
      </c>
      <c r="AN44" s="16" t="s">
        <v>131</v>
      </c>
      <c r="AO44" s="5"/>
      <c r="AP44" s="16"/>
      <c r="AX44" s="68" t="s">
        <v>593</v>
      </c>
      <c r="AY44" s="66" t="s">
        <v>595</v>
      </c>
      <c r="AZ44" s="78" t="s">
        <v>599</v>
      </c>
      <c r="BC44" s="131" t="s">
        <v>77</v>
      </c>
      <c r="BD44" s="6">
        <f>IF(M35 &lt;&gt; "", VLOOKUP(CONCATENATE("P", M35), pointsSystem2, 2, FALSE), 0)</f>
        <v>0</v>
      </c>
      <c r="BE44" s="47">
        <f>IF(N35 &lt;&gt; "", VLOOKUP(CONCATENATE("P", N35), pointsSystem2, 3, FALSE), 0)</f>
        <v>0</v>
      </c>
      <c r="BF44" s="6">
        <f>IF(O35 &lt;&gt; "", VLOOKUP(CONCATENATE("P", O35), pointsSystem2, 2, FALSE), 0)</f>
        <v>0</v>
      </c>
      <c r="BG44" s="47">
        <f>IF(P35 &lt;&gt; "", VLOOKUP(CONCATENATE("P", P35), pointsSystem2, 3, FALSE), 0)</f>
        <v>0</v>
      </c>
      <c r="BH44" s="6">
        <f>IF(Q35 &lt;&gt; "", VLOOKUP(CONCATENATE("P", Q35), pointsSystem2, 2, FALSE), 0)</f>
        <v>0</v>
      </c>
      <c r="BI44" s="47">
        <f>IF(R35 &lt;&gt; "", VLOOKUP(CONCATENATE("P", R35), pointsSystem2, 3, FALSE), 0)</f>
        <v>0</v>
      </c>
      <c r="BJ44" s="6">
        <f>IF(S35 &lt;&gt; "", VLOOKUP(CONCATENATE("P", S35), pointsSystem2, 2, FALSE), 0)</f>
        <v>0</v>
      </c>
      <c r="BK44" s="47">
        <f>IF(T35 &lt;&gt; "", VLOOKUP(CONCATENATE("P", T35), pointsSystem2, 3, FALSE), 0)</f>
        <v>0</v>
      </c>
      <c r="BL44" s="6">
        <f>IF(U35 &lt;&gt; "", VLOOKUP(CONCATENATE("P", U35), pointsSystem2, 2, FALSE), 0)</f>
        <v>0</v>
      </c>
      <c r="BM44" s="47">
        <f>IF(V35 &lt;&gt; "", VLOOKUP(CONCATENATE("P", V35), pointsSystem2, 3, FALSE), 0)</f>
        <v>0</v>
      </c>
      <c r="BN44" s="6">
        <f>IF(W35 &lt;&gt; "", VLOOKUP(CONCATENATE("P", W35), pointsSystem2, 2, FALSE), 0)</f>
        <v>0</v>
      </c>
      <c r="BO44" s="47">
        <f>IF(X35 &lt;&gt; "", VLOOKUP(CONCATENATE("P", X35), pointsSystem2, 3, FALSE), 0)</f>
        <v>0</v>
      </c>
      <c r="BP44" s="6">
        <f>IF(Y35 &lt;&gt; "", VLOOKUP(CONCATENATE("P", Y35), pointsSystem2, 2, FALSE), 0)</f>
        <v>0</v>
      </c>
      <c r="BQ44" s="47">
        <f>IF(Z35 &lt;&gt; "", VLOOKUP(CONCATENATE("P", Z35), pointsSystem2, 3, FALSE), 0)</f>
        <v>0</v>
      </c>
      <c r="BR44" s="6">
        <f>IF(AA35 &lt;&gt; "", VLOOKUP(CONCATENATE("P", AA35), pointsSystem2, 2, FALSE), 0)</f>
        <v>0</v>
      </c>
      <c r="BS44" s="47">
        <f>IF(AB35 &lt;&gt; "", VLOOKUP(CONCATENATE("P", AB35), pointsSystem2, 3, FALSE), 0)</f>
        <v>0</v>
      </c>
      <c r="BT44" s="6">
        <f>IF(AC35 &lt;&gt; "", VLOOKUP(CONCATENATE("P", AC35), pointsSystem2, 2, FALSE), 0)</f>
        <v>0</v>
      </c>
      <c r="BU44" s="47">
        <f>IF(AD35 &lt;&gt; "", VLOOKUP(CONCATENATE("P", AD35), pointsSystem2, 3, FALSE), 0)</f>
        <v>0</v>
      </c>
      <c r="BV44" s="6">
        <f>IF(AE35 &lt;&gt; "", VLOOKUP(CONCATENATE("P", AE35), pointsSystem2, 2, FALSE), 0)</f>
        <v>0</v>
      </c>
      <c r="BW44" s="47">
        <f>IF(AF35 &lt;&gt; "", VLOOKUP(CONCATENATE("P", AF35), pointsSystem2, 3, FALSE), 0)</f>
        <v>0</v>
      </c>
      <c r="BX44" s="6">
        <f>IF(AG35 &lt;&gt; "", VLOOKUP(CONCATENATE("P", AG35), pointsSystem2, 2, FALSE), 0)</f>
        <v>0</v>
      </c>
      <c r="BY44" s="47">
        <f>IF(AH35 &lt;&gt; "", VLOOKUP(CONCATENATE("P", AH35), pointsSystem2, 3, FALSE), 0)</f>
        <v>0</v>
      </c>
      <c r="BZ44" s="6">
        <f>IF(AI35 &lt;&gt; "", VLOOKUP(CONCATENATE("P", AI35), pointsSystem2, 2, FALSE), 0)</f>
        <v>0</v>
      </c>
      <c r="CA44" s="47">
        <f>IF(AJ35 &lt;&gt; "", VLOOKUP(CONCATENATE("P", AJ35), pointsSystem2, 3, FALSE), 0)</f>
        <v>0</v>
      </c>
      <c r="CB44" s="6">
        <f>IF(AK35 &lt;&gt; "", VLOOKUP(CONCATENATE("P", AK35), pointsSystem2, 2, FALSE), 0)</f>
        <v>0</v>
      </c>
      <c r="CC44" s="47">
        <f>IF(AL35 &lt;&gt; "", VLOOKUP(CONCATENATE("P", AL35), pointsSystem2, 3, FALSE), 0)</f>
        <v>0</v>
      </c>
      <c r="CD44" s="6">
        <f>IF(AM35 &lt;&gt; "", VLOOKUP(CONCATENATE("P", AM35), pointsSystem2, 2, FALSE), 0)</f>
        <v>0</v>
      </c>
      <c r="CE44" s="47">
        <f>IF(AN35 &lt;&gt; "", VLOOKUP(CONCATENATE("P", AN35), pointsSystem2, 3, FALSE), 0)</f>
        <v>0</v>
      </c>
      <c r="CF44" s="6">
        <f>AO35 * 3</f>
        <v>0</v>
      </c>
      <c r="CG44" s="47">
        <f>AP35 * 1</f>
        <v>0</v>
      </c>
    </row>
    <row r="45" spans="2:155" ht="16.8" customHeight="1" thickBot="1" x14ac:dyDescent="0.35">
      <c r="B45" s="8" t="s">
        <v>131</v>
      </c>
      <c r="C45" s="41" t="s">
        <v>286</v>
      </c>
      <c r="D45" s="41" t="s">
        <v>340</v>
      </c>
      <c r="E45" s="41" t="s">
        <v>554</v>
      </c>
      <c r="F45" s="72" t="s">
        <v>439</v>
      </c>
      <c r="G45" s="66" t="s">
        <v>7</v>
      </c>
      <c r="H45" s="78" t="s">
        <v>11</v>
      </c>
      <c r="I45" s="11">
        <f>SUM(BD37:CG37)</f>
        <v>0</v>
      </c>
      <c r="L45" s="41" t="s">
        <v>340</v>
      </c>
      <c r="M45" s="5" t="s">
        <v>131</v>
      </c>
      <c r="N45" s="16" t="s">
        <v>131</v>
      </c>
      <c r="O45" s="5" t="s">
        <v>131</v>
      </c>
      <c r="P45" s="16" t="s">
        <v>131</v>
      </c>
      <c r="Q45" s="5" t="s">
        <v>131</v>
      </c>
      <c r="R45" s="16" t="s">
        <v>131</v>
      </c>
      <c r="S45" s="5" t="s">
        <v>131</v>
      </c>
      <c r="T45" s="16" t="s">
        <v>131</v>
      </c>
      <c r="U45" s="5" t="s">
        <v>131</v>
      </c>
      <c r="V45" s="16" t="s">
        <v>131</v>
      </c>
      <c r="W45" s="5" t="s">
        <v>131</v>
      </c>
      <c r="X45" s="16" t="s">
        <v>131</v>
      </c>
      <c r="Y45" s="5" t="s">
        <v>131</v>
      </c>
      <c r="Z45" s="16" t="s">
        <v>131</v>
      </c>
      <c r="AA45" s="5" t="s">
        <v>131</v>
      </c>
      <c r="AB45" s="16" t="s">
        <v>131</v>
      </c>
      <c r="AC45" s="5" t="s">
        <v>131</v>
      </c>
      <c r="AD45" s="16" t="s">
        <v>131</v>
      </c>
      <c r="AE45" s="5" t="s">
        <v>131</v>
      </c>
      <c r="AF45" s="16" t="s">
        <v>131</v>
      </c>
      <c r="AG45" s="5" t="s">
        <v>131</v>
      </c>
      <c r="AH45" s="16" t="s">
        <v>131</v>
      </c>
      <c r="AI45" s="5" t="s">
        <v>131</v>
      </c>
      <c r="AJ45" s="16" t="s">
        <v>131</v>
      </c>
      <c r="AK45" s="5" t="s">
        <v>131</v>
      </c>
      <c r="AL45" s="16" t="s">
        <v>131</v>
      </c>
      <c r="AM45" s="5" t="s">
        <v>131</v>
      </c>
      <c r="AN45" s="16" t="s">
        <v>131</v>
      </c>
      <c r="AO45" s="5"/>
      <c r="AP45" s="16"/>
      <c r="AX45" s="68" t="s">
        <v>593</v>
      </c>
      <c r="AY45" s="66" t="s">
        <v>595</v>
      </c>
      <c r="AZ45" s="78" t="s">
        <v>599</v>
      </c>
      <c r="BC45" s="131" t="s">
        <v>340</v>
      </c>
      <c r="BD45" s="6">
        <f>IF(M47 &lt;&gt; "", VLOOKUP(CONCATENATE("P", M47), pointsSystem2, 2, FALSE), 0)</f>
        <v>0</v>
      </c>
      <c r="BE45" s="47">
        <f>IF(N47 &lt;&gt; "", VLOOKUP(CONCATENATE("P", N47), pointsSystem2, 3, FALSE), 0)</f>
        <v>0</v>
      </c>
      <c r="BF45" s="6">
        <f>IF(O47 &lt;&gt; "", VLOOKUP(CONCATENATE("P", O47), pointsSystem2, 2, FALSE), 0)</f>
        <v>0</v>
      </c>
      <c r="BG45" s="47">
        <f>IF(P47 &lt;&gt; "", VLOOKUP(CONCATENATE("P", P47), pointsSystem2, 3, FALSE), 0)</f>
        <v>0</v>
      </c>
      <c r="BH45" s="6">
        <f>IF(Q47 &lt;&gt; "", VLOOKUP(CONCATENATE("P", Q47), pointsSystem2, 2, FALSE), 0)</f>
        <v>0</v>
      </c>
      <c r="BI45" s="47">
        <f>IF(R47 &lt;&gt; "", VLOOKUP(CONCATENATE("P", R47), pointsSystem2, 3, FALSE), 0)</f>
        <v>0</v>
      </c>
      <c r="BJ45" s="6">
        <f>IF(S47 &lt;&gt; "", VLOOKUP(CONCATENATE("P", S47), pointsSystem2, 2, FALSE), 0)</f>
        <v>0</v>
      </c>
      <c r="BK45" s="47">
        <f>IF(T47 &lt;&gt; "", VLOOKUP(CONCATENATE("P", T47), pointsSystem2, 3, FALSE), 0)</f>
        <v>0</v>
      </c>
      <c r="BL45" s="6">
        <f>IF(U47 &lt;&gt; "", VLOOKUP(CONCATENATE("P", U47), pointsSystem2, 2, FALSE), 0)</f>
        <v>0</v>
      </c>
      <c r="BM45" s="47">
        <f>IF(V47 &lt;&gt; "", VLOOKUP(CONCATENATE("P", V47), pointsSystem2, 3, FALSE), 0)</f>
        <v>0</v>
      </c>
      <c r="BN45" s="6">
        <f>IF(W47 &lt;&gt; "", VLOOKUP(CONCATENATE("P", W47), pointsSystem2, 2, FALSE), 0)</f>
        <v>0</v>
      </c>
      <c r="BO45" s="47">
        <f>IF(X47 &lt;&gt; "", VLOOKUP(CONCATENATE("P", X47), pointsSystem2, 3, FALSE), 0)</f>
        <v>0</v>
      </c>
      <c r="BP45" s="6">
        <f>IF(Y47 &lt;&gt; "", VLOOKUP(CONCATENATE("P", Y47), pointsSystem2, 2, FALSE), 0)</f>
        <v>0</v>
      </c>
      <c r="BQ45" s="47">
        <f>IF(Z47 &lt;&gt; "", VLOOKUP(CONCATENATE("P", Z47), pointsSystem2, 3, FALSE), 0)</f>
        <v>0</v>
      </c>
      <c r="BR45" s="6">
        <f>IF(AA47 &lt;&gt; "", VLOOKUP(CONCATENATE("P", AA47), pointsSystem2, 2, FALSE), 0)</f>
        <v>0</v>
      </c>
      <c r="BS45" s="47">
        <f>IF(AB47 &lt;&gt; "", VLOOKUP(CONCATENATE("P", AB47), pointsSystem2, 3, FALSE), 0)</f>
        <v>0</v>
      </c>
      <c r="BT45" s="6">
        <f>IF(AC47 &lt;&gt; "", VLOOKUP(CONCATENATE("P", AC47), pointsSystem2, 2, FALSE), 0)</f>
        <v>0</v>
      </c>
      <c r="BU45" s="47">
        <f>IF(AD47 &lt;&gt; "", VLOOKUP(CONCATENATE("P", AD47), pointsSystem2, 3, FALSE), 0)</f>
        <v>0</v>
      </c>
      <c r="BV45" s="6">
        <f>IF(AE47 &lt;&gt; "", VLOOKUP(CONCATENATE("P", AE47), pointsSystem2, 2, FALSE), 0)</f>
        <v>0</v>
      </c>
      <c r="BW45" s="47">
        <f>IF(AF47 &lt;&gt; "", VLOOKUP(CONCATENATE("P", AF47), pointsSystem2, 3, FALSE), 0)</f>
        <v>0</v>
      </c>
      <c r="BX45" s="6">
        <f>IF(AG47 &lt;&gt; "", VLOOKUP(CONCATENATE("P", AG47), pointsSystem2, 2, FALSE), 0)</f>
        <v>0</v>
      </c>
      <c r="BY45" s="47">
        <f>IF(AH47 &lt;&gt; "", VLOOKUP(CONCATENATE("P", AH47), pointsSystem2, 3, FALSE), 0)</f>
        <v>0</v>
      </c>
      <c r="BZ45" s="6">
        <f>IF(AI47 &lt;&gt; "", VLOOKUP(CONCATENATE("P", AI47), pointsSystem2, 2, FALSE), 0)</f>
        <v>0</v>
      </c>
      <c r="CA45" s="47">
        <f>IF(AJ47 &lt;&gt; "", VLOOKUP(CONCATENATE("P", AJ47), pointsSystem2, 3, FALSE), 0)</f>
        <v>0</v>
      </c>
      <c r="CB45" s="6">
        <f>IF(AK47 &lt;&gt; "", VLOOKUP(CONCATENATE("P", AK47), pointsSystem2, 2, FALSE), 0)</f>
        <v>0</v>
      </c>
      <c r="CC45" s="47">
        <f>IF(AL47 &lt;&gt; "", VLOOKUP(CONCATENATE("P", AL47), pointsSystem2, 3, FALSE), 0)</f>
        <v>0</v>
      </c>
      <c r="CD45" s="6">
        <f>IF(AM47 &lt;&gt; "", VLOOKUP(CONCATENATE("P", AM47), pointsSystem2, 2, FALSE), 0)</f>
        <v>0</v>
      </c>
      <c r="CE45" s="47">
        <f>IF(AN47 &lt;&gt; "", VLOOKUP(CONCATENATE("P", AN47), pointsSystem2, 3, FALSE), 0)</f>
        <v>0</v>
      </c>
      <c r="CF45" s="6">
        <f>AO47 * 3</f>
        <v>0</v>
      </c>
      <c r="CG45" s="47">
        <f>AP47 * 1</f>
        <v>0</v>
      </c>
    </row>
    <row r="46" spans="2:155" ht="16.8" customHeight="1" x14ac:dyDescent="0.3">
      <c r="B46" s="8" t="s">
        <v>131</v>
      </c>
      <c r="C46" s="36" t="s">
        <v>434</v>
      </c>
      <c r="D46" s="36" t="s">
        <v>340</v>
      </c>
      <c r="E46" s="36" t="s">
        <v>339</v>
      </c>
      <c r="F46" s="71" t="s">
        <v>6</v>
      </c>
      <c r="G46" s="76" t="s">
        <v>10</v>
      </c>
      <c r="H46" s="72" t="s">
        <v>12</v>
      </c>
      <c r="I46" s="11">
        <f>SUM(BD41:CG41)</f>
        <v>0</v>
      </c>
      <c r="L46" s="36" t="s">
        <v>340</v>
      </c>
      <c r="M46" s="5" t="s">
        <v>131</v>
      </c>
      <c r="N46" s="16" t="s">
        <v>131</v>
      </c>
      <c r="O46" s="5" t="s">
        <v>131</v>
      </c>
      <c r="P46" s="16" t="s">
        <v>131</v>
      </c>
      <c r="Q46" s="5" t="s">
        <v>131</v>
      </c>
      <c r="R46" s="16" t="s">
        <v>131</v>
      </c>
      <c r="S46" s="5" t="s">
        <v>131</v>
      </c>
      <c r="T46" s="16" t="s">
        <v>131</v>
      </c>
      <c r="U46" s="5" t="s">
        <v>131</v>
      </c>
      <c r="V46" s="16" t="s">
        <v>131</v>
      </c>
      <c r="W46" s="5" t="s">
        <v>131</v>
      </c>
      <c r="X46" s="16" t="s">
        <v>131</v>
      </c>
      <c r="Y46" s="5" t="s">
        <v>131</v>
      </c>
      <c r="Z46" s="16" t="s">
        <v>131</v>
      </c>
      <c r="AA46" s="5" t="s">
        <v>131</v>
      </c>
      <c r="AB46" s="16" t="s">
        <v>131</v>
      </c>
      <c r="AC46" s="5" t="s">
        <v>131</v>
      </c>
      <c r="AD46" s="16" t="s">
        <v>131</v>
      </c>
      <c r="AE46" s="5" t="s">
        <v>131</v>
      </c>
      <c r="AF46" s="16" t="s">
        <v>131</v>
      </c>
      <c r="AG46" s="5" t="s">
        <v>131</v>
      </c>
      <c r="AH46" s="16" t="s">
        <v>131</v>
      </c>
      <c r="AI46" s="5" t="s">
        <v>131</v>
      </c>
      <c r="AJ46" s="16" t="s">
        <v>131</v>
      </c>
      <c r="AK46" s="5" t="s">
        <v>131</v>
      </c>
      <c r="AL46" s="16" t="s">
        <v>131</v>
      </c>
      <c r="AM46" s="5" t="s">
        <v>131</v>
      </c>
      <c r="AN46" s="16" t="s">
        <v>131</v>
      </c>
      <c r="AO46" s="5"/>
      <c r="AP46" s="16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</row>
    <row r="47" spans="2:155" ht="16.8" customHeight="1" thickBot="1" x14ac:dyDescent="0.35">
      <c r="B47" s="8" t="s">
        <v>131</v>
      </c>
      <c r="C47" s="131" t="s">
        <v>190</v>
      </c>
      <c r="D47" s="131" t="s">
        <v>340</v>
      </c>
      <c r="E47" s="131" t="s">
        <v>605</v>
      </c>
      <c r="F47" s="69" t="s">
        <v>5</v>
      </c>
      <c r="G47" s="66" t="s">
        <v>7</v>
      </c>
      <c r="H47" s="78" t="s">
        <v>11</v>
      </c>
      <c r="I47" s="11">
        <f>SUM(BD45:CG45)</f>
        <v>0</v>
      </c>
      <c r="L47" s="131" t="s">
        <v>340</v>
      </c>
      <c r="M47" s="5" t="s">
        <v>131</v>
      </c>
      <c r="N47" s="16" t="s">
        <v>131</v>
      </c>
      <c r="O47" s="5" t="s">
        <v>131</v>
      </c>
      <c r="P47" s="16" t="s">
        <v>131</v>
      </c>
      <c r="Q47" s="5" t="s">
        <v>131</v>
      </c>
      <c r="R47" s="16" t="s">
        <v>131</v>
      </c>
      <c r="S47" s="5" t="s">
        <v>131</v>
      </c>
      <c r="T47" s="16" t="s">
        <v>131</v>
      </c>
      <c r="U47" s="5" t="s">
        <v>131</v>
      </c>
      <c r="V47" s="16" t="s">
        <v>131</v>
      </c>
      <c r="W47" s="5" t="s">
        <v>131</v>
      </c>
      <c r="X47" s="16" t="s">
        <v>131</v>
      </c>
      <c r="Y47" s="5" t="s">
        <v>131</v>
      </c>
      <c r="Z47" s="16" t="s">
        <v>131</v>
      </c>
      <c r="AA47" s="5" t="s">
        <v>131</v>
      </c>
      <c r="AB47" s="16" t="s">
        <v>131</v>
      </c>
      <c r="AC47" s="5" t="s">
        <v>131</v>
      </c>
      <c r="AD47" s="16" t="s">
        <v>131</v>
      </c>
      <c r="AE47" s="5" t="s">
        <v>131</v>
      </c>
      <c r="AF47" s="16" t="s">
        <v>131</v>
      </c>
      <c r="AG47" s="5" t="s">
        <v>131</v>
      </c>
      <c r="AH47" s="16" t="s">
        <v>131</v>
      </c>
      <c r="AI47" s="5" t="s">
        <v>131</v>
      </c>
      <c r="AJ47" s="16" t="s">
        <v>131</v>
      </c>
      <c r="AK47" s="5" t="s">
        <v>131</v>
      </c>
      <c r="AL47" s="16" t="s">
        <v>131</v>
      </c>
      <c r="AM47" s="5" t="s">
        <v>131</v>
      </c>
      <c r="AN47" s="16" t="s">
        <v>131</v>
      </c>
      <c r="AO47" s="5"/>
      <c r="AP47" s="16"/>
    </row>
    <row r="48" spans="2:155" ht="16.8" customHeight="1" x14ac:dyDescent="0.3">
      <c r="B48" s="130"/>
      <c r="C48" s="130"/>
      <c r="D48" s="130"/>
      <c r="E48" s="130"/>
      <c r="F48" s="130"/>
      <c r="G48" s="130"/>
      <c r="H48" s="130"/>
      <c r="I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</row>
  </sheetData>
  <mergeCells count="169">
    <mergeCell ref="EU31:EU32"/>
    <mergeCell ref="EU33:EU34"/>
    <mergeCell ref="ET9:ET10"/>
    <mergeCell ref="ET11:ET12"/>
    <mergeCell ref="EU5:EU6"/>
    <mergeCell ref="EU7:EU8"/>
    <mergeCell ref="EU9:EU10"/>
    <mergeCell ref="EU11:EU12"/>
    <mergeCell ref="ET17:ET18"/>
    <mergeCell ref="ET19:ET20"/>
    <mergeCell ref="ET21:ET22"/>
    <mergeCell ref="EU17:EU18"/>
    <mergeCell ref="EU19:EU20"/>
    <mergeCell ref="EU21:EU22"/>
    <mergeCell ref="EX29:EX30"/>
    <mergeCell ref="EX31:EX32"/>
    <mergeCell ref="EX33:EX34"/>
    <mergeCell ref="DR15:DS15"/>
    <mergeCell ref="DT15:DU15"/>
    <mergeCell ref="DV15:DW15"/>
    <mergeCell ref="DX15:DY15"/>
    <mergeCell ref="DZ15:EA15"/>
    <mergeCell ref="EP15:EQ15"/>
    <mergeCell ref="ER15:ES15"/>
    <mergeCell ref="ET15:EU15"/>
    <mergeCell ref="DR27:DS27"/>
    <mergeCell ref="DT27:DU27"/>
    <mergeCell ref="DV27:DW27"/>
    <mergeCell ref="DX27:DY27"/>
    <mergeCell ref="DZ27:EA27"/>
    <mergeCell ref="EB27:EC27"/>
    <mergeCell ref="ED27:EE27"/>
    <mergeCell ref="ET23:ET24"/>
    <mergeCell ref="EU23:EU24"/>
    <mergeCell ref="ET29:ET30"/>
    <mergeCell ref="ET31:ET32"/>
    <mergeCell ref="ET33:ET34"/>
    <mergeCell ref="EU29:EU30"/>
    <mergeCell ref="EX7:EX8"/>
    <mergeCell ref="DM3:DN3"/>
    <mergeCell ref="DR3:DS3"/>
    <mergeCell ref="DT3:DU3"/>
    <mergeCell ref="DV3:DW3"/>
    <mergeCell ref="DX3:DY3"/>
    <mergeCell ref="DZ3:EA3"/>
    <mergeCell ref="DE3:DF3"/>
    <mergeCell ref="DG3:DH3"/>
    <mergeCell ref="DI3:DJ3"/>
    <mergeCell ref="DK3:DL3"/>
    <mergeCell ref="ET5:ET6"/>
    <mergeCell ref="ET7:ET8"/>
    <mergeCell ref="AT38:AU38"/>
    <mergeCell ref="AT39:AU39"/>
    <mergeCell ref="AT40:AU40"/>
    <mergeCell ref="BT3:BU3"/>
    <mergeCell ref="BV3:BW3"/>
    <mergeCell ref="BX3:BY3"/>
    <mergeCell ref="CB3:CC3"/>
    <mergeCell ref="CD3:CE3"/>
    <mergeCell ref="BZ3:CA3"/>
    <mergeCell ref="BH3:BI3"/>
    <mergeCell ref="BJ3:BK3"/>
    <mergeCell ref="BL3:BM3"/>
    <mergeCell ref="BN3:BO3"/>
    <mergeCell ref="BP3:BQ3"/>
    <mergeCell ref="BR3:BS3"/>
    <mergeCell ref="AT41:AU41"/>
    <mergeCell ref="AO3:AP3"/>
    <mergeCell ref="AI3:AJ3"/>
    <mergeCell ref="AT32:AU32"/>
    <mergeCell ref="DQ31:DQ32"/>
    <mergeCell ref="EY31:EY32"/>
    <mergeCell ref="AT33:AU33"/>
    <mergeCell ref="AT34:AU34"/>
    <mergeCell ref="DQ33:DQ34"/>
    <mergeCell ref="EY33:EY34"/>
    <mergeCell ref="AT35:AU35"/>
    <mergeCell ref="EY27:EY28"/>
    <mergeCell ref="DQ29:DQ30"/>
    <mergeCell ref="EY29:EY30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DQ23:DQ24"/>
    <mergeCell ref="EY23:EY24"/>
    <mergeCell ref="DQ27:DQ28"/>
    <mergeCell ref="DQ19:DQ20"/>
    <mergeCell ref="EY19:EY20"/>
    <mergeCell ref="DQ21:DQ22"/>
    <mergeCell ref="EY21:EY22"/>
    <mergeCell ref="EX19:EX20"/>
    <mergeCell ref="EX21:EX22"/>
    <mergeCell ref="EY15:EY16"/>
    <mergeCell ref="DQ17:DQ18"/>
    <mergeCell ref="EY17:EY18"/>
    <mergeCell ref="EB15:EC15"/>
    <mergeCell ref="ED15:EE15"/>
    <mergeCell ref="EF15:EG15"/>
    <mergeCell ref="EH15:EI15"/>
    <mergeCell ref="EJ15:EK15"/>
    <mergeCell ref="EL15:EM15"/>
    <mergeCell ref="EN15:EO15"/>
    <mergeCell ref="DQ15:DQ16"/>
    <mergeCell ref="EX15:EX16"/>
    <mergeCell ref="EX17:EX18"/>
    <mergeCell ref="EX23:EX24"/>
    <mergeCell ref="EX27:EX28"/>
    <mergeCell ref="EY9:EY10"/>
    <mergeCell ref="DQ11:DQ12"/>
    <mergeCell ref="EY11:EY12"/>
    <mergeCell ref="EY3:EY4"/>
    <mergeCell ref="DQ5:DQ6"/>
    <mergeCell ref="EY5:EY6"/>
    <mergeCell ref="DQ7:DQ8"/>
    <mergeCell ref="EY7:EY8"/>
    <mergeCell ref="EB3:EC3"/>
    <mergeCell ref="ED3:EE3"/>
    <mergeCell ref="EF3:EG3"/>
    <mergeCell ref="EP3:EQ3"/>
    <mergeCell ref="ER3:ES3"/>
    <mergeCell ref="ET3:EU3"/>
    <mergeCell ref="EX3:EX4"/>
    <mergeCell ref="EH3:EI3"/>
    <mergeCell ref="EJ3:EK3"/>
    <mergeCell ref="EL3:EM3"/>
    <mergeCell ref="EN3:EO3"/>
    <mergeCell ref="DQ3:DQ4"/>
    <mergeCell ref="EX9:EX10"/>
    <mergeCell ref="EX11:EX12"/>
    <mergeCell ref="DQ9:DQ10"/>
    <mergeCell ref="EX5:EX6"/>
    <mergeCell ref="CS3:CT3"/>
    <mergeCell ref="CU3:CV3"/>
    <mergeCell ref="CW3:CX3"/>
    <mergeCell ref="CY3:CZ3"/>
    <mergeCell ref="DA3:DB3"/>
    <mergeCell ref="DC3:DD3"/>
    <mergeCell ref="BC3:BC4"/>
    <mergeCell ref="BD3:BE3"/>
    <mergeCell ref="BF3:BG3"/>
    <mergeCell ref="CF3:CG3"/>
    <mergeCell ref="CJ3:CJ4"/>
    <mergeCell ref="CK3:CL3"/>
    <mergeCell ref="CM3:CN3"/>
    <mergeCell ref="CO3:CP3"/>
    <mergeCell ref="CQ3:CR3"/>
    <mergeCell ref="Y3:Z3"/>
    <mergeCell ref="AA3:AB3"/>
    <mergeCell ref="AC3:AD3"/>
    <mergeCell ref="AE3:AF3"/>
    <mergeCell ref="AG3:AH3"/>
    <mergeCell ref="AK3:AL3"/>
    <mergeCell ref="B2:I2"/>
    <mergeCell ref="AS2:AU2"/>
    <mergeCell ref="B3:I3"/>
    <mergeCell ref="L3:L4"/>
    <mergeCell ref="M3:N3"/>
    <mergeCell ref="O3:P3"/>
    <mergeCell ref="Q3:R3"/>
    <mergeCell ref="S3:T3"/>
    <mergeCell ref="U3:V3"/>
    <mergeCell ref="W3:X3"/>
    <mergeCell ref="AM3:AN3"/>
    <mergeCell ref="AS3:AU3"/>
  </mergeCells>
  <phoneticPr fontId="1" type="noConversion"/>
  <conditionalFormatting sqref="I5:I35 I38:I47">
    <cfRule type="cellIs" dxfId="185" priority="17" operator="lessThan">
      <formula>$AS$34</formula>
    </cfRule>
  </conditionalFormatting>
  <conditionalFormatting sqref="M5:M35 O5:O35 S5:S35 U5:U35 W5:W35 Y5:Y35 AA5:AA35 AC5:AC35 AE5:AE35 AG5:AG35 AI5:AI35 AK5:AK35 AM5:AM35 M38:M47 O38:O47 S38:S47 U38:U47 W38:W47 Y38:Y47 AA38:AA47 AC38:AC47 AE38:AE47 AG38:AG47 AI38:AI47 AK38:AK47 AM38:AM47">
    <cfRule type="cellIs" dxfId="184" priority="20" operator="between">
      <formula>13</formula>
      <formula>15</formula>
    </cfRule>
  </conditionalFormatting>
  <conditionalFormatting sqref="M5:P35 S5:AN35 M38:P47 S38:AN47">
    <cfRule type="cellIs" dxfId="183" priority="3" operator="equal">
      <formula>1</formula>
    </cfRule>
    <cfRule type="cellIs" dxfId="182" priority="4" operator="equal">
      <formula>2</formula>
    </cfRule>
    <cfRule type="cellIs" dxfId="181" priority="16" operator="equal">
      <formula>3</formula>
    </cfRule>
    <cfRule type="cellIs" dxfId="180" priority="19" operator="between">
      <formula>4</formula>
      <formula>12</formula>
    </cfRule>
    <cfRule type="cellIs" dxfId="179" priority="23" operator="between">
      <formula>13</formula>
      <formula>30</formula>
    </cfRule>
    <cfRule type="cellIs" dxfId="178" priority="24" operator="equal">
      <formula>"WDN"</formula>
    </cfRule>
    <cfRule type="cellIs" dxfId="177" priority="25" operator="equal">
      <formula>"DNF"</formula>
    </cfRule>
    <cfRule type="cellIs" dxfId="176" priority="27" operator="equal">
      <formula>"NC"</formula>
    </cfRule>
    <cfRule type="cellIs" dxfId="175" priority="28" operator="equal">
      <formula>"DNS"</formula>
    </cfRule>
    <cfRule type="cellIs" dxfId="174" priority="29" operator="equal">
      <formula>"DNQ"</formula>
    </cfRule>
    <cfRule type="cellIs" dxfId="173" priority="30" operator="equal">
      <formula>"DSQ"</formula>
    </cfRule>
  </conditionalFormatting>
  <conditionalFormatting sqref="Q5:R35 Q38:R47">
    <cfRule type="cellIs" dxfId="172" priority="1" operator="equal">
      <formula>"-"</formula>
    </cfRule>
    <cfRule type="cellIs" dxfId="171" priority="2" operator="notEqual">
      <formula>""</formula>
    </cfRule>
  </conditionalFormatting>
  <conditionalFormatting sqref="AU5:AU14">
    <cfRule type="cellIs" dxfId="170" priority="31" operator="lessThan">
      <formula>$AS$35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B3EC-8721-43CD-BDE3-31046CDEF10E}">
  <sheetPr codeName="Sheet9"/>
  <dimension ref="B1:H32"/>
  <sheetViews>
    <sheetView workbookViewId="0">
      <selection activeCell="H7" sqref="H7"/>
    </sheetView>
  </sheetViews>
  <sheetFormatPr defaultRowHeight="16.8" customHeight="1" x14ac:dyDescent="0.3"/>
  <cols>
    <col min="1" max="1" width="3.109375" style="4" customWidth="1"/>
    <col min="2" max="2" width="8.88671875" style="4"/>
    <col min="3" max="3" width="20" style="4" customWidth="1"/>
    <col min="4" max="4" width="8.88671875" style="4"/>
    <col min="5" max="8" width="22.21875" style="4" customWidth="1"/>
    <col min="9" max="9" width="3.109375" style="4" customWidth="1"/>
    <col min="10" max="16384" width="8.88671875" style="4"/>
  </cols>
  <sheetData>
    <row r="1" spans="2:8" ht="16.8" customHeight="1" thickBot="1" x14ac:dyDescent="0.35"/>
    <row r="2" spans="2:8" ht="16.8" customHeight="1" x14ac:dyDescent="0.3">
      <c r="B2" s="180" t="s">
        <v>609</v>
      </c>
      <c r="C2" s="181"/>
      <c r="D2" s="181"/>
      <c r="E2" s="181"/>
      <c r="F2" s="181"/>
      <c r="G2" s="181"/>
      <c r="H2" s="182"/>
    </row>
    <row r="3" spans="2:8" ht="16.8" customHeight="1" thickBot="1" x14ac:dyDescent="0.35">
      <c r="B3" s="171" t="s">
        <v>151</v>
      </c>
      <c r="C3" s="172"/>
      <c r="D3" s="172"/>
      <c r="E3" s="172"/>
      <c r="F3" s="172"/>
      <c r="G3" s="172"/>
      <c r="H3" s="173"/>
    </row>
    <row r="4" spans="2:8" ht="16.8" customHeight="1" thickBot="1" x14ac:dyDescent="0.35">
      <c r="B4" s="7" t="s">
        <v>347</v>
      </c>
      <c r="C4" s="7" t="s">
        <v>146</v>
      </c>
      <c r="D4" s="7" t="s">
        <v>97</v>
      </c>
      <c r="E4" s="32" t="s">
        <v>147</v>
      </c>
      <c r="F4" s="33" t="s">
        <v>148</v>
      </c>
      <c r="G4" s="34" t="s">
        <v>149</v>
      </c>
      <c r="H4" s="7" t="s">
        <v>150</v>
      </c>
    </row>
    <row r="5" spans="2:8" ht="16.8" customHeight="1" x14ac:dyDescent="0.3">
      <c r="B5" s="226" t="s">
        <v>348</v>
      </c>
      <c r="C5" s="226" t="str">
        <f>Start!AJ5</f>
        <v>Brazilian Event</v>
      </c>
      <c r="D5" s="10" t="s">
        <v>102</v>
      </c>
      <c r="E5" s="13" t="s">
        <v>230</v>
      </c>
      <c r="F5" s="30" t="s">
        <v>193</v>
      </c>
      <c r="G5" s="14" t="s">
        <v>184</v>
      </c>
      <c r="H5" s="10" t="s">
        <v>328</v>
      </c>
    </row>
    <row r="6" spans="2:8" ht="16.8" customHeight="1" thickBot="1" x14ac:dyDescent="0.35">
      <c r="B6" s="227"/>
      <c r="C6" s="227"/>
      <c r="D6" s="12" t="s">
        <v>103</v>
      </c>
      <c r="E6" s="17" t="s">
        <v>188</v>
      </c>
      <c r="F6" s="31" t="s">
        <v>563</v>
      </c>
      <c r="G6" s="18" t="s">
        <v>194</v>
      </c>
      <c r="H6" s="12" t="s">
        <v>227</v>
      </c>
    </row>
    <row r="7" spans="2:8" ht="16.8" customHeight="1" x14ac:dyDescent="0.3">
      <c r="B7" s="226" t="s">
        <v>349</v>
      </c>
      <c r="C7" s="226" t="str">
        <f>Start!AJ6</f>
        <v>American Event</v>
      </c>
      <c r="D7" s="10" t="s">
        <v>102</v>
      </c>
      <c r="E7" s="13" t="s">
        <v>189</v>
      </c>
      <c r="F7" s="30" t="s">
        <v>233</v>
      </c>
      <c r="G7" s="14" t="s">
        <v>283</v>
      </c>
      <c r="H7" s="10" t="s">
        <v>297</v>
      </c>
    </row>
    <row r="8" spans="2:8" ht="16.8" customHeight="1" thickBot="1" x14ac:dyDescent="0.35">
      <c r="B8" s="227"/>
      <c r="C8" s="227"/>
      <c r="D8" s="12" t="s">
        <v>103</v>
      </c>
      <c r="E8" s="17" t="s">
        <v>225</v>
      </c>
      <c r="F8" s="31" t="s">
        <v>559</v>
      </c>
      <c r="G8" s="18" t="s">
        <v>187</v>
      </c>
      <c r="H8" s="12" t="s">
        <v>434</v>
      </c>
    </row>
    <row r="9" spans="2:8" ht="16.8" customHeight="1" x14ac:dyDescent="0.3">
      <c r="B9" s="226" t="s">
        <v>621</v>
      </c>
      <c r="C9" s="226" t="str">
        <f>Start!AJ7</f>
        <v>Texan Event</v>
      </c>
      <c r="D9" s="10" t="s">
        <v>102</v>
      </c>
      <c r="E9" s="13" t="s">
        <v>209</v>
      </c>
      <c r="F9" s="30" t="s">
        <v>290</v>
      </c>
      <c r="G9" s="14" t="s">
        <v>291</v>
      </c>
      <c r="H9" s="10" t="s">
        <v>204</v>
      </c>
    </row>
    <row r="10" spans="2:8" ht="16.8" customHeight="1" thickBot="1" x14ac:dyDescent="0.35">
      <c r="B10" s="227"/>
      <c r="C10" s="227"/>
      <c r="D10" s="12" t="s">
        <v>103</v>
      </c>
      <c r="E10" s="17" t="s">
        <v>236</v>
      </c>
      <c r="F10" s="31" t="s">
        <v>228</v>
      </c>
      <c r="G10" s="18" t="s">
        <v>289</v>
      </c>
      <c r="H10" s="12" t="s">
        <v>513</v>
      </c>
    </row>
    <row r="11" spans="2:8" ht="16.8" customHeight="1" x14ac:dyDescent="0.3">
      <c r="B11" s="226" t="s">
        <v>350</v>
      </c>
      <c r="C11" s="226" t="str">
        <f>Start!AJ8</f>
        <v>South African Event</v>
      </c>
      <c r="D11" s="10" t="s">
        <v>102</v>
      </c>
      <c r="E11" s="13" t="s">
        <v>232</v>
      </c>
      <c r="F11" s="30" t="s">
        <v>235</v>
      </c>
      <c r="G11" s="14" t="s">
        <v>288</v>
      </c>
      <c r="H11" s="10" t="s">
        <v>200</v>
      </c>
    </row>
    <row r="12" spans="2:8" ht="16.8" customHeight="1" thickBot="1" x14ac:dyDescent="0.35">
      <c r="B12" s="227"/>
      <c r="C12" s="227"/>
      <c r="D12" s="12" t="s">
        <v>103</v>
      </c>
      <c r="E12" s="17" t="s">
        <v>215</v>
      </c>
      <c r="F12" s="31" t="s">
        <v>287</v>
      </c>
      <c r="G12" s="18" t="s">
        <v>286</v>
      </c>
      <c r="H12" s="12" t="s">
        <v>190</v>
      </c>
    </row>
    <row r="13" spans="2:8" ht="16.8" customHeight="1" x14ac:dyDescent="0.3">
      <c r="B13" s="186" t="s">
        <v>351</v>
      </c>
      <c r="C13" s="226" t="str">
        <f>Start!AJ9</f>
        <v>Spanish Event</v>
      </c>
      <c r="D13" s="10" t="s">
        <v>102</v>
      </c>
      <c r="E13" s="13" t="s">
        <v>201</v>
      </c>
      <c r="F13" s="30" t="s">
        <v>245</v>
      </c>
      <c r="G13" s="14"/>
      <c r="H13" s="10"/>
    </row>
    <row r="14" spans="2:8" ht="16.8" customHeight="1" thickBot="1" x14ac:dyDescent="0.35">
      <c r="B14" s="188"/>
      <c r="C14" s="227"/>
      <c r="D14" s="12" t="s">
        <v>103</v>
      </c>
      <c r="E14" s="17" t="s">
        <v>285</v>
      </c>
      <c r="F14" s="31" t="s">
        <v>298</v>
      </c>
      <c r="G14" s="18"/>
      <c r="H14" s="12"/>
    </row>
    <row r="15" spans="2:8" ht="16.8" customHeight="1" x14ac:dyDescent="0.3">
      <c r="B15" s="186" t="s">
        <v>352</v>
      </c>
      <c r="C15" s="226" t="str">
        <f>Start!AJ10</f>
        <v>French Event</v>
      </c>
      <c r="D15" s="10" t="s">
        <v>102</v>
      </c>
      <c r="E15" s="13" t="s">
        <v>262</v>
      </c>
      <c r="F15" s="30" t="s">
        <v>208</v>
      </c>
      <c r="G15" s="14"/>
      <c r="H15" s="10"/>
    </row>
    <row r="16" spans="2:8" ht="16.8" customHeight="1" thickBot="1" x14ac:dyDescent="0.35">
      <c r="B16" s="188"/>
      <c r="C16" s="227"/>
      <c r="D16" s="12" t="s">
        <v>103</v>
      </c>
      <c r="E16" s="17" t="s">
        <v>207</v>
      </c>
      <c r="F16" s="31" t="s">
        <v>243</v>
      </c>
      <c r="G16" s="18"/>
      <c r="H16" s="12"/>
    </row>
    <row r="17" spans="2:8" ht="16.8" customHeight="1" x14ac:dyDescent="0.3">
      <c r="B17" s="186" t="s">
        <v>353</v>
      </c>
      <c r="C17" s="226" t="str">
        <f>Start!AJ11</f>
        <v>Monaco Event</v>
      </c>
      <c r="D17" s="10" t="s">
        <v>102</v>
      </c>
      <c r="E17" s="13" t="s">
        <v>557</v>
      </c>
      <c r="F17" s="30"/>
      <c r="G17" s="14"/>
      <c r="H17" s="10"/>
    </row>
    <row r="18" spans="2:8" ht="16.8" customHeight="1" thickBot="1" x14ac:dyDescent="0.35">
      <c r="B18" s="188"/>
      <c r="C18" s="227"/>
      <c r="D18" s="12" t="s">
        <v>103</v>
      </c>
      <c r="E18" s="17"/>
      <c r="F18" s="31"/>
      <c r="G18" s="18"/>
      <c r="H18" s="12"/>
    </row>
    <row r="19" spans="2:8" ht="16.8" customHeight="1" x14ac:dyDescent="0.3">
      <c r="B19" s="186" t="s">
        <v>354</v>
      </c>
      <c r="C19" s="226" t="str">
        <f>Start!AJ12</f>
        <v>German Event</v>
      </c>
      <c r="D19" s="10" t="s">
        <v>102</v>
      </c>
      <c r="E19" s="13"/>
      <c r="F19" s="30"/>
      <c r="G19" s="14"/>
      <c r="H19" s="10"/>
    </row>
    <row r="20" spans="2:8" ht="16.8" customHeight="1" thickBot="1" x14ac:dyDescent="0.35">
      <c r="B20" s="188"/>
      <c r="C20" s="227"/>
      <c r="D20" s="12" t="s">
        <v>103</v>
      </c>
      <c r="E20" s="17"/>
      <c r="F20" s="31"/>
      <c r="G20" s="18"/>
      <c r="H20" s="12"/>
    </row>
    <row r="21" spans="2:8" ht="16.8" customHeight="1" x14ac:dyDescent="0.3">
      <c r="B21" s="186" t="s">
        <v>355</v>
      </c>
      <c r="C21" s="226" t="str">
        <f>Start!AJ13</f>
        <v>British Event</v>
      </c>
      <c r="D21" s="10" t="s">
        <v>102</v>
      </c>
      <c r="E21" s="13"/>
      <c r="F21" s="30"/>
      <c r="G21" s="14"/>
      <c r="H21" s="10"/>
    </row>
    <row r="22" spans="2:8" ht="16.8" customHeight="1" thickBot="1" x14ac:dyDescent="0.35">
      <c r="B22" s="188"/>
      <c r="C22" s="227"/>
      <c r="D22" s="12" t="s">
        <v>103</v>
      </c>
      <c r="E22" s="17"/>
      <c r="F22" s="31"/>
      <c r="G22" s="18"/>
      <c r="H22" s="12"/>
    </row>
    <row r="23" spans="2:8" ht="16.8" customHeight="1" x14ac:dyDescent="0.3">
      <c r="B23" s="226" t="s">
        <v>356</v>
      </c>
      <c r="C23" s="226" t="str">
        <f>Start!AJ14</f>
        <v>Italian Event</v>
      </c>
      <c r="D23" s="10" t="s">
        <v>102</v>
      </c>
      <c r="E23" s="13"/>
      <c r="F23" s="30"/>
      <c r="G23" s="14"/>
      <c r="H23" s="10"/>
    </row>
    <row r="24" spans="2:8" ht="16.8" customHeight="1" thickBot="1" x14ac:dyDescent="0.35">
      <c r="B24" s="227"/>
      <c r="C24" s="227"/>
      <c r="D24" s="12" t="s">
        <v>103</v>
      </c>
      <c r="E24" s="17"/>
      <c r="F24" s="31"/>
      <c r="G24" s="18"/>
      <c r="H24" s="12"/>
    </row>
    <row r="25" spans="2:8" ht="16.8" customHeight="1" x14ac:dyDescent="0.3">
      <c r="B25" s="226" t="s">
        <v>357</v>
      </c>
      <c r="C25" s="226" t="str">
        <f>Start!AJ15</f>
        <v>Turkish Event</v>
      </c>
      <c r="D25" s="10" t="s">
        <v>102</v>
      </c>
      <c r="E25" s="13"/>
      <c r="F25" s="30"/>
      <c r="G25" s="14"/>
      <c r="H25" s="10"/>
    </row>
    <row r="26" spans="2:8" ht="16.8" customHeight="1" thickBot="1" x14ac:dyDescent="0.35">
      <c r="B26" s="227"/>
      <c r="C26" s="227"/>
      <c r="D26" s="12" t="s">
        <v>103</v>
      </c>
      <c r="E26" s="17"/>
      <c r="F26" s="31"/>
      <c r="G26" s="18"/>
      <c r="H26" s="12"/>
    </row>
    <row r="27" spans="2:8" ht="16.8" customHeight="1" x14ac:dyDescent="0.3">
      <c r="B27" s="226" t="s">
        <v>447</v>
      </c>
      <c r="C27" s="226" t="str">
        <f>Start!AJ16</f>
        <v>Japanese Event</v>
      </c>
      <c r="D27" s="10" t="s">
        <v>102</v>
      </c>
      <c r="E27" s="13"/>
      <c r="F27" s="30"/>
      <c r="G27" s="14"/>
      <c r="H27" s="10"/>
    </row>
    <row r="28" spans="2:8" ht="16.8" customHeight="1" thickBot="1" x14ac:dyDescent="0.35">
      <c r="B28" s="227"/>
      <c r="C28" s="227"/>
      <c r="D28" s="12" t="s">
        <v>103</v>
      </c>
      <c r="E28" s="17"/>
      <c r="F28" s="31"/>
      <c r="G28" s="18"/>
      <c r="H28" s="12"/>
    </row>
    <row r="29" spans="2:8" ht="16.8" customHeight="1" x14ac:dyDescent="0.3">
      <c r="B29" s="226" t="s">
        <v>448</v>
      </c>
      <c r="C29" s="226" t="str">
        <f>Start!AJ17</f>
        <v>Singapore Event</v>
      </c>
      <c r="D29" s="10" t="s">
        <v>102</v>
      </c>
      <c r="E29" s="13"/>
      <c r="F29" s="30"/>
      <c r="G29" s="14"/>
      <c r="H29" s="10"/>
    </row>
    <row r="30" spans="2:8" ht="16.8" customHeight="1" thickBot="1" x14ac:dyDescent="0.35">
      <c r="B30" s="227"/>
      <c r="C30" s="227"/>
      <c r="D30" s="12" t="s">
        <v>103</v>
      </c>
      <c r="E30" s="17"/>
      <c r="F30" s="31"/>
      <c r="G30" s="18"/>
      <c r="H30" s="12"/>
    </row>
    <row r="31" spans="2:8" ht="16.8" customHeight="1" x14ac:dyDescent="0.3">
      <c r="B31" s="226" t="s">
        <v>592</v>
      </c>
      <c r="C31" s="226" t="str">
        <f>Start!AJ18</f>
        <v>Australian Event</v>
      </c>
      <c r="D31" s="10" t="s">
        <v>102</v>
      </c>
      <c r="E31" s="13"/>
      <c r="F31" s="30"/>
      <c r="G31" s="14"/>
      <c r="H31" s="10"/>
    </row>
    <row r="32" spans="2:8" ht="16.8" customHeight="1" thickBot="1" x14ac:dyDescent="0.35">
      <c r="B32" s="227"/>
      <c r="C32" s="227"/>
      <c r="D32" s="12" t="s">
        <v>103</v>
      </c>
      <c r="E32" s="17"/>
      <c r="F32" s="31"/>
      <c r="G32" s="18"/>
      <c r="H32" s="12"/>
    </row>
  </sheetData>
  <mergeCells count="30">
    <mergeCell ref="C11:C12"/>
    <mergeCell ref="C13:C14"/>
    <mergeCell ref="C17:C18"/>
    <mergeCell ref="B27:B28"/>
    <mergeCell ref="B11:B12"/>
    <mergeCell ref="B13:B14"/>
    <mergeCell ref="B17:B18"/>
    <mergeCell ref="C19:C20"/>
    <mergeCell ref="C23:C24"/>
    <mergeCell ref="C25:C26"/>
    <mergeCell ref="C27:C28"/>
    <mergeCell ref="B15:B16"/>
    <mergeCell ref="C15:C16"/>
    <mergeCell ref="B21:B22"/>
    <mergeCell ref="C21:C22"/>
    <mergeCell ref="B2:H2"/>
    <mergeCell ref="B3:H3"/>
    <mergeCell ref="B5:B6"/>
    <mergeCell ref="B7:B8"/>
    <mergeCell ref="B9:B10"/>
    <mergeCell ref="C5:C6"/>
    <mergeCell ref="C7:C8"/>
    <mergeCell ref="C9:C10"/>
    <mergeCell ref="B29:B30"/>
    <mergeCell ref="C29:C30"/>
    <mergeCell ref="B31:B32"/>
    <mergeCell ref="C31:C32"/>
    <mergeCell ref="B19:B20"/>
    <mergeCell ref="B23:B24"/>
    <mergeCell ref="B25:B26"/>
  </mergeCells>
  <phoneticPr fontId="1" type="noConversion"/>
  <conditionalFormatting sqref="E5:H32">
    <cfRule type="cellIs" dxfId="169" priority="1" operator="equal">
      <formula>"Pato O'Ward"</formula>
    </cfRule>
    <cfRule type="cellIs" dxfId="168" priority="2" operator="equal">
      <formula>"Lando Norris"</formula>
    </cfRule>
    <cfRule type="cellIs" dxfId="167" priority="3" operator="equal">
      <formula>"Oscar Piastri"</formula>
    </cfRule>
    <cfRule type="cellIs" dxfId="166" priority="4" operator="equal">
      <formula>"David Malukas"</formula>
    </cfRule>
    <cfRule type="cellIs" dxfId="165" priority="5" operator="equal">
      <formula>"Alex Dunne"</formula>
    </cfRule>
    <cfRule type="cellIs" dxfId="164" priority="6" operator="equal">
      <formula>"Rinus VeeKay"</formula>
    </cfRule>
    <cfRule type="cellIs" dxfId="163" priority="7" operator="equal">
      <formula>"Christian Lundgaard"</formula>
    </cfRule>
    <cfRule type="cellIs" dxfId="162" priority="8" operator="equal">
      <formula>"Tuukka Taponen"</formula>
    </cfRule>
    <cfRule type="cellIs" dxfId="161" priority="9" operator="equal">
      <formula>"Oliver Goethe"</formula>
    </cfRule>
    <cfRule type="cellIs" dxfId="160" priority="10" operator="equal">
      <formula>"Doriane Pin"</formula>
    </cfRule>
    <cfRule type="cellIs" dxfId="159" priority="11" operator="equal">
      <formula>"Dan Ticktum"</formula>
    </cfRule>
    <cfRule type="cellIs" dxfId="158" priority="12" operator="equal">
      <formula>"Victor Martins"</formula>
    </cfRule>
    <cfRule type="cellIs" dxfId="157" priority="18" operator="equal">
      <formula>"Ugo Ugochukwu"</formula>
    </cfRule>
    <cfRule type="cellIs" dxfId="156" priority="22" operator="equal">
      <formula>"Yuki Tsunoda"</formula>
    </cfRule>
    <cfRule type="cellIs" dxfId="155" priority="23" operator="equal">
      <formula>"Ayumu Iwasa"</formula>
    </cfRule>
    <cfRule type="cellIs" dxfId="154" priority="24" operator="equal">
      <formula>"Kyffin Simpson"</formula>
    </cfRule>
    <cfRule type="cellIs" dxfId="153" priority="25" operator="equal">
      <formula>"Sacha Fenestraz"</formula>
    </cfRule>
    <cfRule type="cellIs" dxfId="152" priority="26" operator="equal">
      <formula>"Abbi Pulling"</formula>
    </cfRule>
    <cfRule type="cellIs" dxfId="151" priority="27" operator="equal">
      <formula>"Kyle Kirkwood"</formula>
    </cfRule>
    <cfRule type="cellIs" dxfId="150" priority="28" operator="equal">
      <formula>"Alex Palou"</formula>
    </cfRule>
    <cfRule type="cellIs" dxfId="149" priority="29" operator="equal">
      <formula>"Marta Garcia"</formula>
    </cfRule>
    <cfRule type="cellIs" dxfId="148" priority="30" operator="equal">
      <formula>"Callum Ilott"</formula>
    </cfRule>
    <cfRule type="cellIs" dxfId="147" priority="31" operator="equal">
      <formula>"Hunter McElrea"</formula>
    </cfRule>
    <cfRule type="cellIs" dxfId="146" priority="32" operator="equal">
      <formula>"Ritomo Miyata"</formula>
    </cfRule>
    <cfRule type="cellIs" dxfId="145" priority="33" operator="equal">
      <formula>"Marcus Armstrong"</formula>
    </cfRule>
    <cfRule type="cellIs" dxfId="144" priority="34" operator="equal">
      <formula>"Charles Leclerc"</formula>
    </cfRule>
    <cfRule type="cellIs" dxfId="143" priority="35" operator="equal">
      <formula>"Alexander Albon"</formula>
    </cfRule>
    <cfRule type="cellIs" dxfId="142" priority="36" operator="equal">
      <formula>"Mick Schumacher"</formula>
    </cfRule>
    <cfRule type="cellIs" dxfId="141" priority="37" operator="equal">
      <formula>"Oliver Bearman"</formula>
    </cfRule>
    <cfRule type="cellIs" dxfId="140" priority="38" operator="equal">
      <formula>"Jamie Chadwick"</formula>
    </cfRule>
    <cfRule type="cellIs" dxfId="139" priority="39" operator="equal">
      <formula>"Chloe Chambers"</formula>
    </cfRule>
    <cfRule type="cellIs" dxfId="138" priority="40" operator="equal">
      <formula>"Aurelia Nobels"</formula>
    </cfRule>
    <cfRule type="cellIs" dxfId="137" priority="41" operator="equal">
      <formula>"Maya Weug"</formula>
    </cfRule>
    <cfRule type="cellIs" dxfId="136" priority="42" operator="equal">
      <formula>"George Russell"</formula>
    </cfRule>
    <cfRule type="cellIs" dxfId="135" priority="43" operator="equal">
      <formula>"Colton Herta"</formula>
    </cfRule>
    <cfRule type="cellIs" dxfId="134" priority="44" operator="equal">
      <formula>"Theo Pourchaire"</formula>
    </cfRule>
    <cfRule type="cellIs" dxfId="133" priority="45" operator="equal">
      <formula>"Gabriel Bortoleto"</formula>
    </cfRule>
    <cfRule type="cellIs" dxfId="132" priority="46" operator="equal">
      <formula>"Dino Beganovic"</formula>
    </cfRule>
    <cfRule type="cellIs" dxfId="131" priority="47" operator="equal">
      <formula>"Kimi Antonelli"</formula>
    </cfRule>
    <cfRule type="cellIs" dxfId="130" priority="48" operator="equal">
      <formula>"Arvid Lindblad"</formula>
    </cfRule>
    <cfRule type="cellIs" dxfId="129" priority="49" operator="equal">
      <formula>"Isack Hadjar"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4D1-332D-4AB8-86DF-C9B00F79CCC5}">
  <sheetPr codeName="Sheet11"/>
  <dimension ref="B1:FA36"/>
  <sheetViews>
    <sheetView showGridLines="0" topLeftCell="A5" zoomScale="80" zoomScaleNormal="80" workbookViewId="0">
      <selection activeCell="G6" sqref="G6:G36"/>
    </sheetView>
  </sheetViews>
  <sheetFormatPr defaultRowHeight="16.8" customHeight="1" x14ac:dyDescent="0.3"/>
  <cols>
    <col min="1" max="1" width="3.109375" style="4" customWidth="1"/>
    <col min="2" max="2" width="16.6640625" style="4" customWidth="1"/>
    <col min="3" max="3" width="30" style="4" customWidth="1"/>
    <col min="4" max="5" width="3.109375" style="4" customWidth="1"/>
    <col min="6" max="6" width="6.6640625" style="4" customWidth="1"/>
    <col min="7" max="7" width="23.33203125" style="4" customWidth="1"/>
    <col min="8" max="8" width="36.6640625" style="4" customWidth="1"/>
    <col min="9" max="12" width="5" style="4" customWidth="1"/>
    <col min="13" max="13" width="15.5546875" style="4" customWidth="1"/>
    <col min="14" max="15" width="3.109375" style="4" customWidth="1"/>
    <col min="16" max="16" width="6.6640625" style="4" customWidth="1"/>
    <col min="17" max="17" width="23.33203125" style="4" customWidth="1"/>
    <col min="18" max="18" width="36.6640625" style="4" customWidth="1"/>
    <col min="19" max="21" width="5" style="4" customWidth="1"/>
    <col min="22" max="23" width="3.109375" style="4" customWidth="1"/>
    <col min="24" max="24" width="6.6640625" style="4" customWidth="1"/>
    <col min="25" max="25" width="23.33203125" style="4" customWidth="1"/>
    <col min="26" max="26" width="36.6640625" style="4" customWidth="1"/>
    <col min="27" max="29" width="5" style="4" customWidth="1"/>
    <col min="30" max="30" width="15.5546875" style="4" customWidth="1"/>
    <col min="31" max="32" width="3.109375" style="4" customWidth="1"/>
    <col min="33" max="33" width="6.6640625" style="4" customWidth="1"/>
    <col min="34" max="34" width="23.33203125" style="4" customWidth="1"/>
    <col min="35" max="35" width="36.6640625" style="4" customWidth="1"/>
    <col min="36" max="38" width="5" style="4" customWidth="1"/>
    <col min="39" max="39" width="15.5546875" style="4" customWidth="1"/>
    <col min="40" max="41" width="3.109375" style="4" customWidth="1"/>
    <col min="42" max="42" width="6.6640625" style="4" customWidth="1"/>
    <col min="43" max="43" width="23.33203125" style="4" customWidth="1"/>
    <col min="44" max="44" width="36.6640625" style="4" customWidth="1"/>
    <col min="45" max="47" width="5" style="4" customWidth="1"/>
    <col min="48" max="48" width="15.5546875" style="4" customWidth="1"/>
    <col min="49" max="49" width="7.21875" style="4" customWidth="1"/>
    <col min="50" max="51" width="3.109375" style="4" customWidth="1"/>
    <col min="52" max="52" width="6.6640625" style="4" customWidth="1"/>
    <col min="53" max="53" width="23.33203125" style="4" customWidth="1"/>
    <col min="54" max="54" width="36.6640625" style="4" customWidth="1"/>
    <col min="55" max="57" width="5" style="4" customWidth="1"/>
    <col min="58" max="59" width="3.109375" style="4" customWidth="1"/>
    <col min="60" max="60" width="6.6640625" style="4" customWidth="1"/>
    <col min="61" max="61" width="23.33203125" style="4" customWidth="1"/>
    <col min="62" max="62" width="36.6640625" style="4" customWidth="1"/>
    <col min="63" max="66" width="5" style="4" customWidth="1"/>
    <col min="67" max="67" width="15.5546875" style="4" customWidth="1"/>
    <col min="68" max="69" width="3.109375" style="4" customWidth="1"/>
    <col min="70" max="70" width="6.6640625" style="4" customWidth="1"/>
    <col min="71" max="71" width="23.33203125" style="4" customWidth="1"/>
    <col min="72" max="72" width="36.6640625" style="4" customWidth="1"/>
    <col min="73" max="76" width="5" style="4" customWidth="1"/>
    <col min="77" max="77" width="15.5546875" style="4" customWidth="1"/>
    <col min="78" max="79" width="3.109375" style="4" customWidth="1"/>
    <col min="80" max="80" width="6.6640625" style="4" customWidth="1"/>
    <col min="81" max="81" width="23.33203125" style="4" customWidth="1"/>
    <col min="82" max="82" width="36.6640625" style="4" customWidth="1"/>
    <col min="83" max="86" width="5" style="4" customWidth="1"/>
    <col min="87" max="87" width="15.5546875" style="4" customWidth="1"/>
    <col min="88" max="89" width="3.109375" style="4" customWidth="1"/>
    <col min="90" max="90" width="6.6640625" style="4" customWidth="1"/>
    <col min="91" max="91" width="23.33203125" style="4" customWidth="1"/>
    <col min="92" max="92" width="36.6640625" style="4" customWidth="1"/>
    <col min="93" max="96" width="5" style="4" customWidth="1"/>
    <col min="97" max="97" width="15.5546875" style="4" customWidth="1"/>
    <col min="98" max="99" width="3.109375" style="4" customWidth="1"/>
    <col min="100" max="100" width="6.6640625" style="4" customWidth="1"/>
    <col min="101" max="101" width="23.33203125" style="4" customWidth="1"/>
    <col min="102" max="102" width="36.6640625" style="4" customWidth="1"/>
    <col min="103" max="106" width="5" style="4" customWidth="1"/>
    <col min="107" max="107" width="15.5546875" style="4" customWidth="1"/>
    <col min="108" max="108" width="7.21875" style="4" customWidth="1"/>
    <col min="109" max="110" width="3.109375" style="4" customWidth="1"/>
    <col min="111" max="111" width="6.6640625" style="4" customWidth="1"/>
    <col min="112" max="112" width="23.33203125" style="4" customWidth="1"/>
    <col min="113" max="113" width="36.6640625" style="4" customWidth="1"/>
    <col min="114" max="116" width="5" style="4" customWidth="1"/>
    <col min="117" max="118" width="3.109375" style="4" customWidth="1"/>
    <col min="119" max="119" width="6.6640625" style="4" customWidth="1"/>
    <col min="120" max="120" width="23.33203125" style="4" customWidth="1"/>
    <col min="121" max="121" width="36.6640625" style="4" customWidth="1"/>
    <col min="122" max="125" width="5" style="4" customWidth="1"/>
    <col min="126" max="126" width="15.5546875" style="4" customWidth="1"/>
    <col min="127" max="128" width="3.109375" style="4" customWidth="1"/>
    <col min="129" max="129" width="6.6640625" style="4" customWidth="1"/>
    <col min="130" max="130" width="23.33203125" style="4" customWidth="1"/>
    <col min="131" max="131" width="36.6640625" style="4" customWidth="1"/>
    <col min="132" max="135" width="5" style="4" customWidth="1"/>
    <col min="136" max="136" width="15.5546875" style="4" customWidth="1"/>
    <col min="137" max="138" width="3.109375" style="4" customWidth="1"/>
    <col min="139" max="139" width="6.6640625" style="4" customWidth="1"/>
    <col min="140" max="140" width="23.33203125" style="4" customWidth="1"/>
    <col min="141" max="141" width="36.6640625" style="4" customWidth="1"/>
    <col min="142" max="145" width="5" style="4" customWidth="1"/>
    <col min="146" max="146" width="15.5546875" style="4" customWidth="1"/>
    <col min="147" max="148" width="3.109375" style="4" customWidth="1"/>
    <col min="149" max="149" width="6.6640625" style="4" customWidth="1"/>
    <col min="150" max="150" width="23.33203125" style="4" customWidth="1"/>
    <col min="151" max="151" width="36.6640625" style="4" customWidth="1"/>
    <col min="152" max="155" width="5" style="4" customWidth="1"/>
    <col min="156" max="156" width="15.5546875" style="4" customWidth="1"/>
    <col min="157" max="157" width="7.21875" style="4" customWidth="1"/>
    <col min="158" max="158" width="3.109375" style="4" customWidth="1"/>
    <col min="159" max="16384" width="8.88671875" style="4"/>
  </cols>
  <sheetData>
    <row r="1" spans="2:157" ht="16.8" customHeight="1" thickBot="1" x14ac:dyDescent="0.35"/>
    <row r="2" spans="2:157" ht="16.8" customHeight="1" thickBot="1" x14ac:dyDescent="0.35">
      <c r="B2" s="179" t="s">
        <v>376</v>
      </c>
      <c r="C2" s="179"/>
      <c r="F2" s="192" t="str">
        <f>CONCATENATE("TDS12 - ", B2)</f>
        <v>TDS12 - if you see this text it means I forgot to change it</v>
      </c>
      <c r="G2" s="192"/>
      <c r="H2" s="192"/>
      <c r="I2" s="192"/>
      <c r="J2" s="192"/>
      <c r="K2" s="192"/>
      <c r="L2" s="192"/>
      <c r="M2" s="192"/>
      <c r="P2" s="192" t="str">
        <f>F2</f>
        <v>TDS12 - if you see this text it means I forgot to change it</v>
      </c>
      <c r="Q2" s="192"/>
      <c r="R2" s="192"/>
      <c r="S2" s="192"/>
      <c r="T2" s="192"/>
      <c r="U2" s="192"/>
      <c r="X2" s="192" t="str">
        <f>F2</f>
        <v>TDS12 - if you see this text it means I forgot to change it</v>
      </c>
      <c r="Y2" s="192"/>
      <c r="Z2" s="192"/>
      <c r="AA2" s="192"/>
      <c r="AB2" s="192"/>
      <c r="AC2" s="192"/>
      <c r="AD2" s="192"/>
      <c r="AG2" s="192" t="str">
        <f>F2</f>
        <v>TDS12 - if you see this text it means I forgot to change it</v>
      </c>
      <c r="AH2" s="192"/>
      <c r="AI2" s="192"/>
      <c r="AJ2" s="192"/>
      <c r="AK2" s="192"/>
      <c r="AL2" s="192"/>
      <c r="AM2" s="192"/>
      <c r="AP2" s="192" t="str">
        <f>F2</f>
        <v>TDS12 - if you see this text it means I forgot to change it</v>
      </c>
      <c r="AQ2" s="192"/>
      <c r="AR2" s="192"/>
      <c r="AS2" s="192"/>
      <c r="AT2" s="192"/>
      <c r="AU2" s="192"/>
      <c r="AV2" s="192"/>
      <c r="AW2" s="192"/>
      <c r="AZ2" s="192" t="str">
        <f>F2</f>
        <v>TDS12 - if you see this text it means I forgot to change it</v>
      </c>
      <c r="BA2" s="192"/>
      <c r="BB2" s="192"/>
      <c r="BC2" s="192"/>
      <c r="BD2" s="192"/>
      <c r="BE2" s="192"/>
      <c r="BH2" s="192" t="str">
        <f>F2</f>
        <v>TDS12 - if you see this text it means I forgot to change it</v>
      </c>
      <c r="BI2" s="192"/>
      <c r="BJ2" s="192"/>
      <c r="BK2" s="192"/>
      <c r="BL2" s="192"/>
      <c r="BM2" s="192"/>
      <c r="BN2" s="192"/>
      <c r="BO2" s="192"/>
      <c r="BR2" s="192" t="str">
        <f>F2</f>
        <v>TDS12 - if you see this text it means I forgot to change it</v>
      </c>
      <c r="BS2" s="192"/>
      <c r="BT2" s="192"/>
      <c r="BU2" s="192"/>
      <c r="BV2" s="192"/>
      <c r="BW2" s="192"/>
      <c r="BX2" s="192"/>
      <c r="BY2" s="192"/>
      <c r="CB2" s="192" t="str">
        <f>F2</f>
        <v>TDS12 - if you see this text it means I forgot to change it</v>
      </c>
      <c r="CC2" s="192"/>
      <c r="CD2" s="192"/>
      <c r="CE2" s="192"/>
      <c r="CF2" s="192"/>
      <c r="CG2" s="192"/>
      <c r="CH2" s="192"/>
      <c r="CI2" s="192"/>
      <c r="CL2" s="192" t="str">
        <f>P2</f>
        <v>TDS12 - if you see this text it means I forgot to change it</v>
      </c>
      <c r="CM2" s="192"/>
      <c r="CN2" s="192"/>
      <c r="CO2" s="192"/>
      <c r="CP2" s="192"/>
      <c r="CQ2" s="192"/>
      <c r="CR2" s="192"/>
      <c r="CS2" s="192"/>
      <c r="CV2" s="192" t="str">
        <f>F2</f>
        <v>TDS12 - if you see this text it means I forgot to change it</v>
      </c>
      <c r="CW2" s="192"/>
      <c r="CX2" s="192"/>
      <c r="CY2" s="192"/>
      <c r="CZ2" s="192"/>
      <c r="DA2" s="192"/>
      <c r="DB2" s="192"/>
      <c r="DC2" s="192"/>
      <c r="DD2" s="192"/>
      <c r="DG2" s="192" t="str">
        <f>F2</f>
        <v>TDS12 - if you see this text it means I forgot to change it</v>
      </c>
      <c r="DH2" s="192"/>
      <c r="DI2" s="192"/>
      <c r="DJ2" s="192"/>
      <c r="DK2" s="192"/>
      <c r="DL2" s="192"/>
      <c r="DO2" s="192" t="str">
        <f>F2</f>
        <v>TDS12 - if you see this text it means I forgot to change it</v>
      </c>
      <c r="DP2" s="192"/>
      <c r="DQ2" s="192"/>
      <c r="DR2" s="192"/>
      <c r="DS2" s="192"/>
      <c r="DT2" s="192"/>
      <c r="DU2" s="192"/>
      <c r="DV2" s="192"/>
      <c r="DY2" s="192" t="str">
        <f>F2</f>
        <v>TDS12 - if you see this text it means I forgot to change it</v>
      </c>
      <c r="DZ2" s="192"/>
      <c r="EA2" s="192"/>
      <c r="EB2" s="192"/>
      <c r="EC2" s="192"/>
      <c r="ED2" s="192"/>
      <c r="EE2" s="192"/>
      <c r="EF2" s="192"/>
      <c r="EI2" s="192" t="str">
        <f>P2</f>
        <v>TDS12 - if you see this text it means I forgot to change it</v>
      </c>
      <c r="EJ2" s="192"/>
      <c r="EK2" s="192"/>
      <c r="EL2" s="192"/>
      <c r="EM2" s="192"/>
      <c r="EN2" s="192"/>
      <c r="EO2" s="192"/>
      <c r="EP2" s="192"/>
      <c r="ES2" s="192" t="str">
        <f>F2</f>
        <v>TDS12 - if you see this text it means I forgot to change it</v>
      </c>
      <c r="ET2" s="192"/>
      <c r="EU2" s="192"/>
      <c r="EV2" s="192"/>
      <c r="EW2" s="192"/>
      <c r="EX2" s="192"/>
      <c r="EY2" s="192"/>
      <c r="EZ2" s="192"/>
      <c r="FA2" s="192"/>
    </row>
    <row r="3" spans="2:157" ht="16.8" customHeight="1" thickBot="1" x14ac:dyDescent="0.35">
      <c r="B3" s="179" t="s">
        <v>311</v>
      </c>
      <c r="C3" s="179"/>
      <c r="F3" s="192" t="str">
        <f>CONCATENATE("Event ", C4, "/", C5, " - ", C6, " - ", C7)</f>
        <v>Event 1/13 - Brazilian Event - Autodromo Jose Carlos Pace</v>
      </c>
      <c r="G3" s="192"/>
      <c r="H3" s="192"/>
      <c r="I3" s="192"/>
      <c r="J3" s="192"/>
      <c r="K3" s="192"/>
      <c r="L3" s="192"/>
      <c r="M3" s="192"/>
      <c r="P3" s="192" t="str">
        <f>F3</f>
        <v>Event 1/13 - Brazilian Event - Autodromo Jose Carlos Pace</v>
      </c>
      <c r="Q3" s="192"/>
      <c r="R3" s="192"/>
      <c r="S3" s="192"/>
      <c r="T3" s="192"/>
      <c r="U3" s="192"/>
      <c r="X3" s="192" t="str">
        <f>F3</f>
        <v>Event 1/13 - Brazilian Event - Autodromo Jose Carlos Pace</v>
      </c>
      <c r="Y3" s="192"/>
      <c r="Z3" s="192"/>
      <c r="AA3" s="192"/>
      <c r="AB3" s="192"/>
      <c r="AC3" s="192"/>
      <c r="AD3" s="192"/>
      <c r="AG3" s="192" t="str">
        <f>F3</f>
        <v>Event 1/13 - Brazilian Event - Autodromo Jose Carlos Pace</v>
      </c>
      <c r="AH3" s="192"/>
      <c r="AI3" s="192"/>
      <c r="AJ3" s="192"/>
      <c r="AK3" s="192"/>
      <c r="AL3" s="192"/>
      <c r="AM3" s="192"/>
      <c r="AP3" s="192" t="str">
        <f>F3</f>
        <v>Event 1/13 - Brazilian Event - Autodromo Jose Carlos Pace</v>
      </c>
      <c r="AQ3" s="192"/>
      <c r="AR3" s="192"/>
      <c r="AS3" s="192"/>
      <c r="AT3" s="192"/>
      <c r="AU3" s="192"/>
      <c r="AV3" s="192"/>
      <c r="AW3" s="192"/>
      <c r="AZ3" s="192" t="str">
        <f>F3</f>
        <v>Event 1/13 - Brazilian Event - Autodromo Jose Carlos Pace</v>
      </c>
      <c r="BA3" s="192"/>
      <c r="BB3" s="192"/>
      <c r="BC3" s="192"/>
      <c r="BD3" s="192"/>
      <c r="BE3" s="192"/>
      <c r="BH3" s="192" t="str">
        <f>F3</f>
        <v>Event 1/13 - Brazilian Event - Autodromo Jose Carlos Pace</v>
      </c>
      <c r="BI3" s="192"/>
      <c r="BJ3" s="192"/>
      <c r="BK3" s="192"/>
      <c r="BL3" s="192"/>
      <c r="BM3" s="192"/>
      <c r="BN3" s="192"/>
      <c r="BO3" s="192"/>
      <c r="BR3" s="192" t="str">
        <f>F3</f>
        <v>Event 1/13 - Brazilian Event - Autodromo Jose Carlos Pace</v>
      </c>
      <c r="BS3" s="192"/>
      <c r="BT3" s="192"/>
      <c r="BU3" s="192"/>
      <c r="BV3" s="192"/>
      <c r="BW3" s="192"/>
      <c r="BX3" s="192"/>
      <c r="BY3" s="192"/>
      <c r="CB3" s="192" t="str">
        <f>F3</f>
        <v>Event 1/13 - Brazilian Event - Autodromo Jose Carlos Pace</v>
      </c>
      <c r="CC3" s="192"/>
      <c r="CD3" s="192"/>
      <c r="CE3" s="192"/>
      <c r="CF3" s="192"/>
      <c r="CG3" s="192"/>
      <c r="CH3" s="192"/>
      <c r="CI3" s="192"/>
      <c r="CL3" s="192" t="str">
        <f>P3</f>
        <v>Event 1/13 - Brazilian Event - Autodromo Jose Carlos Pace</v>
      </c>
      <c r="CM3" s="192"/>
      <c r="CN3" s="192"/>
      <c r="CO3" s="192"/>
      <c r="CP3" s="192"/>
      <c r="CQ3" s="192"/>
      <c r="CR3" s="192"/>
      <c r="CS3" s="192"/>
      <c r="CV3" s="192" t="str">
        <f>F3</f>
        <v>Event 1/13 - Brazilian Event - Autodromo Jose Carlos Pace</v>
      </c>
      <c r="CW3" s="192"/>
      <c r="CX3" s="192"/>
      <c r="CY3" s="192"/>
      <c r="CZ3" s="192"/>
      <c r="DA3" s="192"/>
      <c r="DB3" s="192"/>
      <c r="DC3" s="192"/>
      <c r="DD3" s="192"/>
      <c r="DG3" s="192" t="str">
        <f>F3</f>
        <v>Event 1/13 - Brazilian Event - Autodromo Jose Carlos Pace</v>
      </c>
      <c r="DH3" s="192"/>
      <c r="DI3" s="192"/>
      <c r="DJ3" s="192"/>
      <c r="DK3" s="192"/>
      <c r="DL3" s="192"/>
      <c r="DO3" s="192" t="str">
        <f>F3</f>
        <v>Event 1/13 - Brazilian Event - Autodromo Jose Carlos Pace</v>
      </c>
      <c r="DP3" s="192"/>
      <c r="DQ3" s="192"/>
      <c r="DR3" s="192"/>
      <c r="DS3" s="192"/>
      <c r="DT3" s="192"/>
      <c r="DU3" s="192"/>
      <c r="DV3" s="192"/>
      <c r="DY3" s="192" t="str">
        <f>F3</f>
        <v>Event 1/13 - Brazilian Event - Autodromo Jose Carlos Pace</v>
      </c>
      <c r="DZ3" s="192"/>
      <c r="EA3" s="192"/>
      <c r="EB3" s="192"/>
      <c r="EC3" s="192"/>
      <c r="ED3" s="192"/>
      <c r="EE3" s="192"/>
      <c r="EF3" s="192"/>
      <c r="EI3" s="192" t="str">
        <f>P3</f>
        <v>Event 1/13 - Brazilian Event - Autodromo Jose Carlos Pace</v>
      </c>
      <c r="EJ3" s="192"/>
      <c r="EK3" s="192"/>
      <c r="EL3" s="192"/>
      <c r="EM3" s="192"/>
      <c r="EN3" s="192"/>
      <c r="EO3" s="192"/>
      <c r="EP3" s="192"/>
      <c r="ES3" s="192" t="str">
        <f>F3</f>
        <v>Event 1/13 - Brazilian Event - Autodromo Jose Carlos Pace</v>
      </c>
      <c r="ET3" s="192"/>
      <c r="EU3" s="192"/>
      <c r="EV3" s="192"/>
      <c r="EW3" s="192"/>
      <c r="EX3" s="192"/>
      <c r="EY3" s="192"/>
      <c r="EZ3" s="192"/>
      <c r="FA3" s="192"/>
    </row>
    <row r="4" spans="2:157" ht="16.8" customHeight="1" thickBot="1" x14ac:dyDescent="0.35">
      <c r="B4" s="5" t="s">
        <v>314</v>
      </c>
      <c r="C4" s="5">
        <v>1</v>
      </c>
      <c r="F4" s="192" t="s">
        <v>126</v>
      </c>
      <c r="G4" s="192"/>
      <c r="H4" s="192"/>
      <c r="I4" s="192"/>
      <c r="J4" s="192"/>
      <c r="K4" s="192"/>
      <c r="L4" s="192"/>
      <c r="M4" s="192"/>
      <c r="P4" s="192" t="s">
        <v>127</v>
      </c>
      <c r="Q4" s="192"/>
      <c r="R4" s="192"/>
      <c r="S4" s="192"/>
      <c r="T4" s="192"/>
      <c r="U4" s="192"/>
      <c r="X4" s="192" t="s">
        <v>128</v>
      </c>
      <c r="Y4" s="192"/>
      <c r="Z4" s="192"/>
      <c r="AA4" s="192"/>
      <c r="AB4" s="192"/>
      <c r="AC4" s="192"/>
      <c r="AD4" s="192"/>
      <c r="AG4" s="192" t="s">
        <v>129</v>
      </c>
      <c r="AH4" s="192"/>
      <c r="AI4" s="192"/>
      <c r="AJ4" s="192"/>
      <c r="AK4" s="192"/>
      <c r="AL4" s="192"/>
      <c r="AM4" s="192"/>
      <c r="AP4" s="192" t="s">
        <v>130</v>
      </c>
      <c r="AQ4" s="192"/>
      <c r="AR4" s="192"/>
      <c r="AS4" s="192"/>
      <c r="AT4" s="192"/>
      <c r="AU4" s="192"/>
      <c r="AV4" s="192"/>
      <c r="AW4" s="192"/>
      <c r="AZ4" s="192" t="s">
        <v>134</v>
      </c>
      <c r="BA4" s="192"/>
      <c r="BB4" s="192"/>
      <c r="BC4" s="192"/>
      <c r="BD4" s="192"/>
      <c r="BE4" s="192"/>
      <c r="BH4" s="192" t="str">
        <f>CONCATENATE("Race 1 - Lap ", C11, "/", C10)</f>
        <v>Race 1 - Lap 5/38 Laps</v>
      </c>
      <c r="BI4" s="192"/>
      <c r="BJ4" s="192"/>
      <c r="BK4" s="192"/>
      <c r="BL4" s="192"/>
      <c r="BM4" s="192"/>
      <c r="BN4" s="192"/>
      <c r="BO4" s="192"/>
      <c r="BR4" s="192" t="str">
        <f>CONCATENATE("Race 1 - Lap ", C12, "/", C10)</f>
        <v>Race 1 - Lap 10/38 Laps</v>
      </c>
      <c r="BS4" s="192"/>
      <c r="BT4" s="192"/>
      <c r="BU4" s="192"/>
      <c r="BV4" s="192"/>
      <c r="BW4" s="192"/>
      <c r="BX4" s="192"/>
      <c r="BY4" s="192"/>
      <c r="CB4" s="192" t="str">
        <f>CONCATENATE("Race 1 - Lap ", C13, "/", C10)</f>
        <v>Race 1 - Lap 15/38 Laps</v>
      </c>
      <c r="CC4" s="192"/>
      <c r="CD4" s="192"/>
      <c r="CE4" s="192"/>
      <c r="CF4" s="192"/>
      <c r="CG4" s="192"/>
      <c r="CH4" s="192"/>
      <c r="CI4" s="192"/>
      <c r="CL4" s="192" t="str">
        <f>CONCATENATE("Race 1 - Lap ", C14, "/", C10)</f>
        <v>Race 1 - Lap 20/38 Laps</v>
      </c>
      <c r="CM4" s="192"/>
      <c r="CN4" s="192"/>
      <c r="CO4" s="192"/>
      <c r="CP4" s="192"/>
      <c r="CQ4" s="192"/>
      <c r="CR4" s="192"/>
      <c r="CS4" s="192"/>
      <c r="CV4" s="192" t="s">
        <v>132</v>
      </c>
      <c r="CW4" s="192"/>
      <c r="CX4" s="192"/>
      <c r="CY4" s="192"/>
      <c r="CZ4" s="192"/>
      <c r="DA4" s="192"/>
      <c r="DB4" s="192"/>
      <c r="DC4" s="192"/>
      <c r="DD4" s="192"/>
      <c r="DG4" s="192" t="s">
        <v>133</v>
      </c>
      <c r="DH4" s="192"/>
      <c r="DI4" s="192"/>
      <c r="DJ4" s="192"/>
      <c r="DK4" s="192"/>
      <c r="DL4" s="192"/>
      <c r="DO4" s="192" t="str">
        <f>CONCATENATE("Race 2 - Lap ", C18, "/", C17)</f>
        <v>Race 2 - Lap 5/31 Laps</v>
      </c>
      <c r="DP4" s="192"/>
      <c r="DQ4" s="192"/>
      <c r="DR4" s="192"/>
      <c r="DS4" s="192"/>
      <c r="DT4" s="192"/>
      <c r="DU4" s="192"/>
      <c r="DV4" s="192"/>
      <c r="DY4" s="192" t="str">
        <f>CONCATENATE("Race 2 - Lap ", C19, "/", C17)</f>
        <v>Race 2 - Lap 10/31 Laps</v>
      </c>
      <c r="DZ4" s="192"/>
      <c r="EA4" s="192"/>
      <c r="EB4" s="192"/>
      <c r="EC4" s="192"/>
      <c r="ED4" s="192"/>
      <c r="EE4" s="192"/>
      <c r="EF4" s="192"/>
      <c r="EI4" s="192" t="str">
        <f>CONCATENATE("Race 2 - Lap ", C20, "/", C17)</f>
        <v>Race 2 - Lap 15/31 Laps</v>
      </c>
      <c r="EJ4" s="192"/>
      <c r="EK4" s="192"/>
      <c r="EL4" s="192"/>
      <c r="EM4" s="192"/>
      <c r="EN4" s="192"/>
      <c r="EO4" s="192"/>
      <c r="EP4" s="192"/>
      <c r="ES4" s="192" t="s">
        <v>135</v>
      </c>
      <c r="ET4" s="192"/>
      <c r="EU4" s="192"/>
      <c r="EV4" s="192"/>
      <c r="EW4" s="192"/>
      <c r="EX4" s="192"/>
      <c r="EY4" s="192"/>
      <c r="EZ4" s="192"/>
      <c r="FA4" s="192"/>
    </row>
    <row r="5" spans="2:157" ht="16.8" customHeight="1" thickBot="1" x14ac:dyDescent="0.35">
      <c r="B5" s="5" t="s">
        <v>312</v>
      </c>
      <c r="C5" s="5">
        <v>13</v>
      </c>
      <c r="F5" s="7" t="s">
        <v>15</v>
      </c>
      <c r="G5" s="7" t="s">
        <v>43</v>
      </c>
      <c r="H5" s="7" t="s">
        <v>44</v>
      </c>
      <c r="I5" s="192" t="s">
        <v>600</v>
      </c>
      <c r="J5" s="192"/>
      <c r="K5" s="192"/>
      <c r="L5" s="192" t="s">
        <v>40</v>
      </c>
      <c r="M5" s="192"/>
      <c r="P5" s="7" t="s">
        <v>15</v>
      </c>
      <c r="Q5" s="7" t="s">
        <v>43</v>
      </c>
      <c r="R5" s="7" t="s">
        <v>44</v>
      </c>
      <c r="S5" s="192" t="s">
        <v>600</v>
      </c>
      <c r="T5" s="192"/>
      <c r="U5" s="192"/>
      <c r="X5" s="7" t="s">
        <v>15</v>
      </c>
      <c r="Y5" s="7" t="s">
        <v>43</v>
      </c>
      <c r="Z5" s="7" t="s">
        <v>44</v>
      </c>
      <c r="AA5" s="192" t="s">
        <v>600</v>
      </c>
      <c r="AB5" s="192"/>
      <c r="AC5" s="192"/>
      <c r="AD5" s="7" t="s">
        <v>40</v>
      </c>
      <c r="AG5" s="7" t="s">
        <v>15</v>
      </c>
      <c r="AH5" s="7" t="s">
        <v>43</v>
      </c>
      <c r="AI5" s="7" t="s">
        <v>44</v>
      </c>
      <c r="AJ5" s="192" t="s">
        <v>600</v>
      </c>
      <c r="AK5" s="192"/>
      <c r="AL5" s="192"/>
      <c r="AM5" s="7" t="s">
        <v>40</v>
      </c>
      <c r="AP5" s="7" t="s">
        <v>15</v>
      </c>
      <c r="AQ5" s="7" t="s">
        <v>43</v>
      </c>
      <c r="AR5" s="7" t="s">
        <v>44</v>
      </c>
      <c r="AS5" s="192" t="s">
        <v>600</v>
      </c>
      <c r="AT5" s="192"/>
      <c r="AU5" s="192"/>
      <c r="AV5" s="7" t="s">
        <v>40</v>
      </c>
      <c r="AW5" s="7" t="s">
        <v>45</v>
      </c>
      <c r="AZ5" s="7" t="s">
        <v>15</v>
      </c>
      <c r="BA5" s="7" t="s">
        <v>43</v>
      </c>
      <c r="BB5" s="7" t="s">
        <v>44</v>
      </c>
      <c r="BC5" s="192" t="s">
        <v>600</v>
      </c>
      <c r="BD5" s="192"/>
      <c r="BE5" s="192"/>
      <c r="BH5" s="7" t="s">
        <v>15</v>
      </c>
      <c r="BI5" s="7" t="s">
        <v>43</v>
      </c>
      <c r="BJ5" s="7" t="s">
        <v>44</v>
      </c>
      <c r="BK5" s="192" t="s">
        <v>600</v>
      </c>
      <c r="BL5" s="192"/>
      <c r="BM5" s="192"/>
      <c r="BN5" s="192" t="s">
        <v>40</v>
      </c>
      <c r="BO5" s="192"/>
      <c r="BR5" s="7" t="s">
        <v>15</v>
      </c>
      <c r="BS5" s="7" t="s">
        <v>43</v>
      </c>
      <c r="BT5" s="7" t="s">
        <v>44</v>
      </c>
      <c r="BU5" s="192" t="s">
        <v>600</v>
      </c>
      <c r="BV5" s="192"/>
      <c r="BW5" s="192"/>
      <c r="BX5" s="192" t="s">
        <v>40</v>
      </c>
      <c r="BY5" s="192"/>
      <c r="CB5" s="7" t="s">
        <v>15</v>
      </c>
      <c r="CC5" s="7" t="s">
        <v>43</v>
      </c>
      <c r="CD5" s="7" t="s">
        <v>44</v>
      </c>
      <c r="CE5" s="192" t="s">
        <v>600</v>
      </c>
      <c r="CF5" s="192"/>
      <c r="CG5" s="192"/>
      <c r="CH5" s="192" t="s">
        <v>40</v>
      </c>
      <c r="CI5" s="192"/>
      <c r="CL5" s="7" t="s">
        <v>15</v>
      </c>
      <c r="CM5" s="7" t="s">
        <v>43</v>
      </c>
      <c r="CN5" s="7" t="s">
        <v>44</v>
      </c>
      <c r="CO5" s="192" t="s">
        <v>600</v>
      </c>
      <c r="CP5" s="192"/>
      <c r="CQ5" s="192"/>
      <c r="CR5" s="192" t="s">
        <v>40</v>
      </c>
      <c r="CS5" s="192"/>
      <c r="CV5" s="7" t="s">
        <v>15</v>
      </c>
      <c r="CW5" s="7" t="s">
        <v>43</v>
      </c>
      <c r="CX5" s="7" t="s">
        <v>44</v>
      </c>
      <c r="CY5" s="192" t="s">
        <v>600</v>
      </c>
      <c r="CZ5" s="192"/>
      <c r="DA5" s="192"/>
      <c r="DB5" s="192" t="s">
        <v>40</v>
      </c>
      <c r="DC5" s="192"/>
      <c r="DD5" s="7" t="s">
        <v>45</v>
      </c>
      <c r="DG5" s="7" t="s">
        <v>15</v>
      </c>
      <c r="DH5" s="7" t="s">
        <v>43</v>
      </c>
      <c r="DI5" s="7" t="s">
        <v>44</v>
      </c>
      <c r="DJ5" s="192" t="s">
        <v>600</v>
      </c>
      <c r="DK5" s="192"/>
      <c r="DL5" s="192"/>
      <c r="DO5" s="7" t="s">
        <v>15</v>
      </c>
      <c r="DP5" s="7" t="s">
        <v>43</v>
      </c>
      <c r="DQ5" s="7" t="s">
        <v>44</v>
      </c>
      <c r="DR5" s="192" t="s">
        <v>600</v>
      </c>
      <c r="DS5" s="192"/>
      <c r="DT5" s="192"/>
      <c r="DU5" s="192" t="s">
        <v>40</v>
      </c>
      <c r="DV5" s="192"/>
      <c r="DY5" s="7" t="s">
        <v>15</v>
      </c>
      <c r="DZ5" s="7" t="s">
        <v>43</v>
      </c>
      <c r="EA5" s="7" t="s">
        <v>44</v>
      </c>
      <c r="EB5" s="192" t="s">
        <v>600</v>
      </c>
      <c r="EC5" s="192"/>
      <c r="ED5" s="192"/>
      <c r="EE5" s="192" t="s">
        <v>40</v>
      </c>
      <c r="EF5" s="192"/>
      <c r="EI5" s="7" t="s">
        <v>15</v>
      </c>
      <c r="EJ5" s="7" t="s">
        <v>43</v>
      </c>
      <c r="EK5" s="7" t="s">
        <v>44</v>
      </c>
      <c r="EL5" s="192" t="s">
        <v>600</v>
      </c>
      <c r="EM5" s="192"/>
      <c r="EN5" s="192"/>
      <c r="EO5" s="192" t="s">
        <v>40</v>
      </c>
      <c r="EP5" s="192"/>
      <c r="ES5" s="7" t="s">
        <v>15</v>
      </c>
      <c r="ET5" s="7" t="s">
        <v>43</v>
      </c>
      <c r="EU5" s="7" t="s">
        <v>44</v>
      </c>
      <c r="EV5" s="192" t="s">
        <v>600</v>
      </c>
      <c r="EW5" s="192"/>
      <c r="EX5" s="192"/>
      <c r="EY5" s="192" t="s">
        <v>40</v>
      </c>
      <c r="EZ5" s="192"/>
      <c r="FA5" s="7" t="s">
        <v>45</v>
      </c>
    </row>
    <row r="6" spans="2:157" ht="16.8" customHeight="1" x14ac:dyDescent="0.3">
      <c r="B6" s="5" t="s">
        <v>31</v>
      </c>
      <c r="C6" s="5" t="str">
        <f>IF(C4 = "NC", VLOOKUP(CONCATENATE(C4), calendar, 2, FALSE), VLOOKUP(CONCATENATE("E", C4), calendar, 2, FALSE))</f>
        <v>Brazilian Event</v>
      </c>
      <c r="F6" s="21" t="s">
        <v>19</v>
      </c>
      <c r="G6" s="10" t="s">
        <v>230</v>
      </c>
      <c r="H6" s="10" t="s">
        <v>686</v>
      </c>
      <c r="I6" s="10"/>
      <c r="J6" s="10"/>
      <c r="K6" s="10"/>
      <c r="L6" s="13"/>
      <c r="M6" s="14"/>
      <c r="P6" s="21" t="s">
        <v>19</v>
      </c>
      <c r="Q6" s="10" t="s">
        <v>209</v>
      </c>
      <c r="R6" s="10" t="s">
        <v>686</v>
      </c>
      <c r="S6" s="10"/>
      <c r="T6" s="10"/>
      <c r="U6" s="10"/>
      <c r="X6" s="21" t="s">
        <v>19</v>
      </c>
      <c r="Y6" s="10"/>
      <c r="Z6" s="10"/>
      <c r="AA6" s="10"/>
      <c r="AB6" s="10"/>
      <c r="AC6" s="10"/>
      <c r="AD6" s="10"/>
      <c r="AG6" s="21" t="s">
        <v>19</v>
      </c>
      <c r="AH6" s="10"/>
      <c r="AI6" s="10"/>
      <c r="AJ6" s="10"/>
      <c r="AK6" s="10"/>
      <c r="AL6" s="10"/>
      <c r="AM6" s="10"/>
      <c r="AP6" s="21" t="s">
        <v>19</v>
      </c>
      <c r="AQ6" s="10"/>
      <c r="AR6" s="10"/>
      <c r="AS6" s="10"/>
      <c r="AT6" s="10"/>
      <c r="AU6" s="10"/>
      <c r="AV6" s="10"/>
      <c r="AW6" s="10">
        <v>10</v>
      </c>
      <c r="AZ6" s="21" t="s">
        <v>19</v>
      </c>
      <c r="BA6" s="10"/>
      <c r="BB6" s="10"/>
      <c r="BC6" s="10"/>
      <c r="BD6" s="10"/>
      <c r="BE6" s="10"/>
      <c r="BH6" s="21" t="s">
        <v>19</v>
      </c>
      <c r="BI6" s="10"/>
      <c r="BJ6" s="10"/>
      <c r="BK6" s="10"/>
      <c r="BL6" s="10"/>
      <c r="BM6" s="10"/>
      <c r="BN6" s="13"/>
      <c r="BO6" s="14"/>
      <c r="BR6" s="21" t="s">
        <v>19</v>
      </c>
      <c r="BS6" s="10"/>
      <c r="BT6" s="10"/>
      <c r="BU6" s="10"/>
      <c r="BV6" s="10"/>
      <c r="BW6" s="10"/>
      <c r="BX6" s="13"/>
      <c r="BY6" s="14"/>
      <c r="CB6" s="21" t="s">
        <v>19</v>
      </c>
      <c r="CC6" s="10"/>
      <c r="CD6" s="10"/>
      <c r="CE6" s="10"/>
      <c r="CF6" s="10"/>
      <c r="CG6" s="10"/>
      <c r="CH6" s="13"/>
      <c r="CI6" s="14"/>
      <c r="CL6" s="21" t="s">
        <v>19</v>
      </c>
      <c r="CM6" s="10"/>
      <c r="CN6" s="10"/>
      <c r="CO6" s="10"/>
      <c r="CP6" s="10"/>
      <c r="CQ6" s="10"/>
      <c r="CR6" s="13"/>
      <c r="CS6" s="14"/>
      <c r="CV6" s="21" t="s">
        <v>19</v>
      </c>
      <c r="CW6" s="10"/>
      <c r="CX6" s="10"/>
      <c r="CY6" s="10"/>
      <c r="CZ6" s="10"/>
      <c r="DA6" s="10"/>
      <c r="DB6" s="13"/>
      <c r="DC6" s="14"/>
      <c r="DD6" s="10">
        <v>25</v>
      </c>
      <c r="DG6" s="21" t="s">
        <v>19</v>
      </c>
      <c r="DH6" s="10"/>
      <c r="DI6" s="10"/>
      <c r="DJ6" s="10"/>
      <c r="DK6" s="10"/>
      <c r="DL6" s="10"/>
      <c r="DO6" s="21" t="s">
        <v>19</v>
      </c>
      <c r="DP6" s="10"/>
      <c r="DQ6" s="10"/>
      <c r="DR6" s="10"/>
      <c r="DS6" s="10"/>
      <c r="DT6" s="10"/>
      <c r="DU6" s="13"/>
      <c r="DV6" s="14"/>
      <c r="DY6" s="21" t="s">
        <v>19</v>
      </c>
      <c r="DZ6" s="10"/>
      <c r="EA6" s="10"/>
      <c r="EB6" s="10"/>
      <c r="EC6" s="10"/>
      <c r="ED6" s="10"/>
      <c r="EE6" s="13"/>
      <c r="EF6" s="14"/>
      <c r="EI6" s="21" t="s">
        <v>19</v>
      </c>
      <c r="EJ6" s="10"/>
      <c r="EK6" s="10"/>
      <c r="EL6" s="10"/>
      <c r="EM6" s="10"/>
      <c r="EN6" s="10"/>
      <c r="EO6" s="13"/>
      <c r="EP6" s="14"/>
      <c r="ES6" s="21" t="s">
        <v>19</v>
      </c>
      <c r="ET6" s="10"/>
      <c r="EU6" s="10"/>
      <c r="EV6" s="10"/>
      <c r="EW6" s="10"/>
      <c r="EX6" s="10"/>
      <c r="EY6" s="13"/>
      <c r="EZ6" s="14"/>
      <c r="FA6" s="10">
        <v>15</v>
      </c>
    </row>
    <row r="7" spans="2:157" ht="16.8" customHeight="1" x14ac:dyDescent="0.3">
      <c r="B7" s="5" t="s">
        <v>313</v>
      </c>
      <c r="C7" s="5" t="str">
        <f>IF(C4 = "NC", VLOOKUP(CONCATENATE(C4), calendar, 4, FALSE), VLOOKUP(CONCATENATE("E", C4), calendar, 4, FALSE))</f>
        <v>Autodromo Jose Carlos Pace</v>
      </c>
      <c r="F7" s="8" t="s">
        <v>20</v>
      </c>
      <c r="G7" s="11" t="s">
        <v>188</v>
      </c>
      <c r="H7" s="11" t="s">
        <v>687</v>
      </c>
      <c r="I7" s="11"/>
      <c r="J7" s="11"/>
      <c r="K7" s="11"/>
      <c r="L7" s="15"/>
      <c r="M7" s="16"/>
      <c r="P7" s="8" t="s">
        <v>20</v>
      </c>
      <c r="Q7" s="11" t="s">
        <v>201</v>
      </c>
      <c r="R7" s="11" t="s">
        <v>601</v>
      </c>
      <c r="S7" s="11"/>
      <c r="T7" s="11"/>
      <c r="U7" s="11"/>
      <c r="X7" s="8" t="s">
        <v>20</v>
      </c>
      <c r="Y7" s="11"/>
      <c r="Z7" s="11"/>
      <c r="AA7" s="11"/>
      <c r="AB7" s="11"/>
      <c r="AC7" s="11"/>
      <c r="AD7" s="11"/>
      <c r="AG7" s="8" t="s">
        <v>20</v>
      </c>
      <c r="AH7" s="11"/>
      <c r="AI7" s="11"/>
      <c r="AJ7" s="11"/>
      <c r="AK7" s="11"/>
      <c r="AL7" s="11"/>
      <c r="AM7" s="11"/>
      <c r="AP7" s="8" t="s">
        <v>20</v>
      </c>
      <c r="AQ7" s="11"/>
      <c r="AR7" s="11"/>
      <c r="AS7" s="11"/>
      <c r="AT7" s="11"/>
      <c r="AU7" s="11"/>
      <c r="AV7" s="11"/>
      <c r="AW7" s="11">
        <v>8</v>
      </c>
      <c r="AZ7" s="8" t="s">
        <v>20</v>
      </c>
      <c r="BA7" s="11"/>
      <c r="BB7" s="11"/>
      <c r="BC7" s="11"/>
      <c r="BD7" s="11"/>
      <c r="BE7" s="11"/>
      <c r="BH7" s="8" t="s">
        <v>20</v>
      </c>
      <c r="BI7" s="11"/>
      <c r="BJ7" s="11"/>
      <c r="BK7" s="11"/>
      <c r="BL7" s="11"/>
      <c r="BM7" s="11"/>
      <c r="BN7" s="15"/>
      <c r="BO7" s="16"/>
      <c r="BR7" s="8" t="s">
        <v>20</v>
      </c>
      <c r="BS7" s="11"/>
      <c r="BT7" s="11"/>
      <c r="BU7" s="11"/>
      <c r="BV7" s="11"/>
      <c r="BW7" s="11"/>
      <c r="BX7" s="15"/>
      <c r="BY7" s="16"/>
      <c r="CB7" s="8" t="s">
        <v>20</v>
      </c>
      <c r="CC7" s="11"/>
      <c r="CD7" s="11"/>
      <c r="CE7" s="11"/>
      <c r="CF7" s="11"/>
      <c r="CG7" s="11"/>
      <c r="CH7" s="15"/>
      <c r="CI7" s="16"/>
      <c r="CL7" s="8" t="s">
        <v>20</v>
      </c>
      <c r="CM7" s="11"/>
      <c r="CN7" s="11"/>
      <c r="CO7" s="11"/>
      <c r="CP7" s="11"/>
      <c r="CQ7" s="11"/>
      <c r="CR7" s="15"/>
      <c r="CS7" s="16"/>
      <c r="CV7" s="8" t="s">
        <v>20</v>
      </c>
      <c r="CW7" s="11"/>
      <c r="CX7" s="11"/>
      <c r="CY7" s="11"/>
      <c r="CZ7" s="11"/>
      <c r="DA7" s="11"/>
      <c r="DB7" s="15"/>
      <c r="DC7" s="16"/>
      <c r="DD7" s="11">
        <v>18</v>
      </c>
      <c r="DG7" s="8" t="s">
        <v>20</v>
      </c>
      <c r="DH7" s="11"/>
      <c r="DI7" s="11"/>
      <c r="DJ7" s="11"/>
      <c r="DK7" s="11"/>
      <c r="DL7" s="11"/>
      <c r="DO7" s="8" t="s">
        <v>20</v>
      </c>
      <c r="DP7" s="11"/>
      <c r="DQ7" s="11"/>
      <c r="DR7" s="11"/>
      <c r="DS7" s="11"/>
      <c r="DT7" s="11"/>
      <c r="DU7" s="15"/>
      <c r="DV7" s="16"/>
      <c r="DY7" s="8" t="s">
        <v>20</v>
      </c>
      <c r="DZ7" s="11"/>
      <c r="EA7" s="11"/>
      <c r="EB7" s="11"/>
      <c r="EC7" s="11"/>
      <c r="ED7" s="11"/>
      <c r="EE7" s="15"/>
      <c r="EF7" s="16"/>
      <c r="EI7" s="8" t="s">
        <v>20</v>
      </c>
      <c r="EJ7" s="11"/>
      <c r="EK7" s="11"/>
      <c r="EL7" s="11"/>
      <c r="EM7" s="11"/>
      <c r="EN7" s="11"/>
      <c r="EO7" s="15"/>
      <c r="EP7" s="16"/>
      <c r="ES7" s="8" t="s">
        <v>20</v>
      </c>
      <c r="ET7" s="11"/>
      <c r="EU7" s="11"/>
      <c r="EV7" s="11"/>
      <c r="EW7" s="11"/>
      <c r="EX7" s="11"/>
      <c r="EY7" s="15"/>
      <c r="EZ7" s="16"/>
      <c r="FA7" s="11">
        <v>12</v>
      </c>
    </row>
    <row r="8" spans="2:157" ht="16.8" customHeight="1" x14ac:dyDescent="0.3">
      <c r="F8" s="8" t="s">
        <v>21</v>
      </c>
      <c r="G8" s="11" t="s">
        <v>189</v>
      </c>
      <c r="H8" s="11" t="s">
        <v>688</v>
      </c>
      <c r="I8" s="11"/>
      <c r="J8" s="11"/>
      <c r="K8" s="11"/>
      <c r="L8" s="15"/>
      <c r="M8" s="16"/>
      <c r="P8" s="8" t="s">
        <v>21</v>
      </c>
      <c r="Q8" s="11" t="s">
        <v>557</v>
      </c>
      <c r="R8" s="11" t="s">
        <v>690</v>
      </c>
      <c r="S8" s="11"/>
      <c r="T8" s="11"/>
      <c r="U8" s="11"/>
      <c r="X8" s="8" t="s">
        <v>21</v>
      </c>
      <c r="Y8" s="11"/>
      <c r="Z8" s="11"/>
      <c r="AA8" s="11"/>
      <c r="AB8" s="11"/>
      <c r="AC8" s="11"/>
      <c r="AD8" s="11"/>
      <c r="AG8" s="8" t="s">
        <v>21</v>
      </c>
      <c r="AH8" s="11"/>
      <c r="AI8" s="11"/>
      <c r="AJ8" s="11"/>
      <c r="AK8" s="11"/>
      <c r="AL8" s="11"/>
      <c r="AM8" s="11"/>
      <c r="AP8" s="8" t="s">
        <v>21</v>
      </c>
      <c r="AQ8" s="11"/>
      <c r="AR8" s="11"/>
      <c r="AS8" s="11"/>
      <c r="AT8" s="11"/>
      <c r="AU8" s="11"/>
      <c r="AV8" s="11"/>
      <c r="AW8" s="11">
        <v>6</v>
      </c>
      <c r="AZ8" s="8" t="s">
        <v>21</v>
      </c>
      <c r="BA8" s="11"/>
      <c r="BB8" s="11"/>
      <c r="BC8" s="11"/>
      <c r="BD8" s="11"/>
      <c r="BE8" s="11"/>
      <c r="BH8" s="8" t="s">
        <v>21</v>
      </c>
      <c r="BI8" s="11"/>
      <c r="BJ8" s="11"/>
      <c r="BK8" s="11"/>
      <c r="BL8" s="11"/>
      <c r="BM8" s="11"/>
      <c r="BN8" s="15"/>
      <c r="BO8" s="16"/>
      <c r="BR8" s="8" t="s">
        <v>21</v>
      </c>
      <c r="BS8" s="11"/>
      <c r="BT8" s="11"/>
      <c r="BU8" s="11"/>
      <c r="BV8" s="11"/>
      <c r="BW8" s="11"/>
      <c r="BX8" s="15"/>
      <c r="BY8" s="16"/>
      <c r="CB8" s="8" t="s">
        <v>21</v>
      </c>
      <c r="CC8" s="11"/>
      <c r="CD8" s="11"/>
      <c r="CE8" s="11"/>
      <c r="CF8" s="11"/>
      <c r="CG8" s="11"/>
      <c r="CH8" s="15"/>
      <c r="CI8" s="16"/>
      <c r="CL8" s="8" t="s">
        <v>21</v>
      </c>
      <c r="CM8" s="11"/>
      <c r="CN8" s="11"/>
      <c r="CO8" s="11"/>
      <c r="CP8" s="11"/>
      <c r="CQ8" s="11"/>
      <c r="CR8" s="15"/>
      <c r="CS8" s="16"/>
      <c r="CV8" s="8" t="s">
        <v>21</v>
      </c>
      <c r="CW8" s="11"/>
      <c r="CX8" s="11"/>
      <c r="CY8" s="11"/>
      <c r="CZ8" s="11"/>
      <c r="DA8" s="11"/>
      <c r="DB8" s="15"/>
      <c r="DC8" s="16"/>
      <c r="DD8" s="11">
        <v>15</v>
      </c>
      <c r="DG8" s="8" t="s">
        <v>21</v>
      </c>
      <c r="DH8" s="11"/>
      <c r="DI8" s="11"/>
      <c r="DJ8" s="11"/>
      <c r="DK8" s="11"/>
      <c r="DL8" s="11"/>
      <c r="DO8" s="8" t="s">
        <v>21</v>
      </c>
      <c r="DP8" s="11"/>
      <c r="DQ8" s="11"/>
      <c r="DR8" s="11"/>
      <c r="DS8" s="11"/>
      <c r="DT8" s="11"/>
      <c r="DU8" s="15"/>
      <c r="DV8" s="16"/>
      <c r="DY8" s="8" t="s">
        <v>21</v>
      </c>
      <c r="DZ8" s="11"/>
      <c r="EA8" s="11"/>
      <c r="EB8" s="11"/>
      <c r="EC8" s="11"/>
      <c r="ED8" s="11"/>
      <c r="EE8" s="15"/>
      <c r="EF8" s="16"/>
      <c r="EI8" s="8" t="s">
        <v>21</v>
      </c>
      <c r="EJ8" s="11"/>
      <c r="EK8" s="11"/>
      <c r="EL8" s="11"/>
      <c r="EM8" s="11"/>
      <c r="EN8" s="11"/>
      <c r="EO8" s="15"/>
      <c r="EP8" s="16"/>
      <c r="ES8" s="8" t="s">
        <v>21</v>
      </c>
      <c r="ET8" s="11"/>
      <c r="EU8" s="11"/>
      <c r="EV8" s="11"/>
      <c r="EW8" s="11"/>
      <c r="EX8" s="11"/>
      <c r="EY8" s="15"/>
      <c r="EZ8" s="16"/>
      <c r="FA8" s="11">
        <v>10</v>
      </c>
    </row>
    <row r="9" spans="2:157" ht="16.8" customHeight="1" x14ac:dyDescent="0.3">
      <c r="F9" s="8" t="s">
        <v>22</v>
      </c>
      <c r="G9" s="11" t="s">
        <v>225</v>
      </c>
      <c r="H9" s="11" t="s">
        <v>689</v>
      </c>
      <c r="I9" s="11"/>
      <c r="J9" s="11"/>
      <c r="K9" s="11"/>
      <c r="L9" s="15"/>
      <c r="M9" s="16"/>
      <c r="P9" s="8" t="s">
        <v>22</v>
      </c>
      <c r="Q9" s="11" t="s">
        <v>559</v>
      </c>
      <c r="R9" s="11" t="s">
        <v>691</v>
      </c>
      <c r="S9" s="11"/>
      <c r="T9" s="11"/>
      <c r="U9" s="11"/>
      <c r="X9" s="8" t="s">
        <v>22</v>
      </c>
      <c r="Y9" s="11"/>
      <c r="Z9" s="11"/>
      <c r="AA9" s="11"/>
      <c r="AB9" s="11"/>
      <c r="AC9" s="11"/>
      <c r="AD9" s="11"/>
      <c r="AG9" s="8" t="s">
        <v>22</v>
      </c>
      <c r="AH9" s="11"/>
      <c r="AI9" s="11"/>
      <c r="AJ9" s="11"/>
      <c r="AK9" s="11"/>
      <c r="AL9" s="11"/>
      <c r="AM9" s="11"/>
      <c r="AP9" s="8" t="s">
        <v>22</v>
      </c>
      <c r="AQ9" s="11"/>
      <c r="AR9" s="11"/>
      <c r="AS9" s="11"/>
      <c r="AT9" s="11"/>
      <c r="AU9" s="11"/>
      <c r="AV9" s="11"/>
      <c r="AW9" s="11">
        <v>5</v>
      </c>
      <c r="AZ9" s="8" t="s">
        <v>22</v>
      </c>
      <c r="BA9" s="11"/>
      <c r="BB9" s="11"/>
      <c r="BC9" s="11"/>
      <c r="BD9" s="11"/>
      <c r="BE9" s="11"/>
      <c r="BH9" s="8" t="s">
        <v>22</v>
      </c>
      <c r="BI9" s="11"/>
      <c r="BJ9" s="11"/>
      <c r="BK9" s="11"/>
      <c r="BL9" s="11"/>
      <c r="BM9" s="11"/>
      <c r="BN9" s="15"/>
      <c r="BO9" s="16"/>
      <c r="BR9" s="8" t="s">
        <v>22</v>
      </c>
      <c r="BS9" s="11"/>
      <c r="BT9" s="11"/>
      <c r="BU9" s="11"/>
      <c r="BV9" s="11"/>
      <c r="BW9" s="11"/>
      <c r="BX9" s="15"/>
      <c r="BY9" s="16"/>
      <c r="CB9" s="8" t="s">
        <v>22</v>
      </c>
      <c r="CC9" s="11"/>
      <c r="CD9" s="11"/>
      <c r="CE9" s="11"/>
      <c r="CF9" s="11"/>
      <c r="CG9" s="11"/>
      <c r="CH9" s="15"/>
      <c r="CI9" s="16"/>
      <c r="CL9" s="8" t="s">
        <v>22</v>
      </c>
      <c r="CM9" s="11"/>
      <c r="CN9" s="11"/>
      <c r="CO9" s="11"/>
      <c r="CP9" s="11"/>
      <c r="CQ9" s="11"/>
      <c r="CR9" s="15"/>
      <c r="CS9" s="16"/>
      <c r="CV9" s="8" t="s">
        <v>22</v>
      </c>
      <c r="CW9" s="11"/>
      <c r="CX9" s="11"/>
      <c r="CY9" s="11"/>
      <c r="CZ9" s="11"/>
      <c r="DA9" s="11"/>
      <c r="DB9" s="15"/>
      <c r="DC9" s="16"/>
      <c r="DD9" s="11">
        <v>12</v>
      </c>
      <c r="DG9" s="8" t="s">
        <v>22</v>
      </c>
      <c r="DH9" s="11"/>
      <c r="DI9" s="11"/>
      <c r="DJ9" s="11"/>
      <c r="DK9" s="11"/>
      <c r="DL9" s="11"/>
      <c r="DO9" s="8" t="s">
        <v>22</v>
      </c>
      <c r="DP9" s="11"/>
      <c r="DQ9" s="11"/>
      <c r="DR9" s="11"/>
      <c r="DS9" s="11"/>
      <c r="DT9" s="11"/>
      <c r="DU9" s="15"/>
      <c r="DV9" s="16"/>
      <c r="DY9" s="8" t="s">
        <v>22</v>
      </c>
      <c r="DZ9" s="11"/>
      <c r="EA9" s="11"/>
      <c r="EB9" s="11"/>
      <c r="EC9" s="11"/>
      <c r="ED9" s="11"/>
      <c r="EE9" s="15"/>
      <c r="EF9" s="16"/>
      <c r="EI9" s="8" t="s">
        <v>22</v>
      </c>
      <c r="EJ9" s="11"/>
      <c r="EK9" s="11"/>
      <c r="EL9" s="11"/>
      <c r="EM9" s="11"/>
      <c r="EN9" s="11"/>
      <c r="EO9" s="15"/>
      <c r="EP9" s="16"/>
      <c r="ES9" s="8" t="s">
        <v>22</v>
      </c>
      <c r="ET9" s="11"/>
      <c r="EU9" s="11"/>
      <c r="EV9" s="11"/>
      <c r="EW9" s="11"/>
      <c r="EX9" s="11"/>
      <c r="EY9" s="15"/>
      <c r="EZ9" s="16"/>
      <c r="FA9" s="11">
        <v>9</v>
      </c>
    </row>
    <row r="10" spans="2:157" ht="16.8" customHeight="1" x14ac:dyDescent="0.3">
      <c r="B10" s="5" t="s">
        <v>102</v>
      </c>
      <c r="C10" s="5" t="str">
        <f>IF(C4 = "NC", VLOOKUP(CONCATENATE(C4), calendar, 7, FALSE), VLOOKUP(CONCATENATE("E", C4), calendar, 7, FALSE))</f>
        <v>38 Laps</v>
      </c>
      <c r="F10" s="8" t="s">
        <v>23</v>
      </c>
      <c r="G10" s="11" t="s">
        <v>236</v>
      </c>
      <c r="H10" s="11" t="s">
        <v>601</v>
      </c>
      <c r="I10" s="11"/>
      <c r="J10" s="11"/>
      <c r="K10" s="11"/>
      <c r="L10" s="15"/>
      <c r="M10" s="16"/>
      <c r="P10" s="8" t="s">
        <v>23</v>
      </c>
      <c r="Q10" s="11" t="s">
        <v>287</v>
      </c>
      <c r="R10" s="11" t="s">
        <v>694</v>
      </c>
      <c r="S10" s="11"/>
      <c r="T10" s="11"/>
      <c r="U10" s="11"/>
      <c r="X10" s="8" t="s">
        <v>23</v>
      </c>
      <c r="Y10" s="11"/>
      <c r="Z10" s="11"/>
      <c r="AA10" s="11"/>
      <c r="AB10" s="11"/>
      <c r="AC10" s="11"/>
      <c r="AD10" s="11"/>
      <c r="AG10" s="8" t="s">
        <v>23</v>
      </c>
      <c r="AH10" s="11"/>
      <c r="AI10" s="11"/>
      <c r="AJ10" s="11"/>
      <c r="AK10" s="11"/>
      <c r="AL10" s="11"/>
      <c r="AM10" s="11"/>
      <c r="AP10" s="8" t="s">
        <v>23</v>
      </c>
      <c r="AQ10" s="11"/>
      <c r="AR10" s="11"/>
      <c r="AS10" s="11"/>
      <c r="AT10" s="11"/>
      <c r="AU10" s="11"/>
      <c r="AV10" s="11"/>
      <c r="AW10" s="11">
        <v>4</v>
      </c>
      <c r="AZ10" s="8" t="s">
        <v>23</v>
      </c>
      <c r="BA10" s="11"/>
      <c r="BB10" s="11"/>
      <c r="BC10" s="11"/>
      <c r="BD10" s="11"/>
      <c r="BE10" s="11"/>
      <c r="BH10" s="8" t="s">
        <v>23</v>
      </c>
      <c r="BI10" s="11"/>
      <c r="BJ10" s="11"/>
      <c r="BK10" s="11"/>
      <c r="BL10" s="11"/>
      <c r="BM10" s="11"/>
      <c r="BN10" s="15"/>
      <c r="BO10" s="16"/>
      <c r="BR10" s="8" t="s">
        <v>23</v>
      </c>
      <c r="BS10" s="11"/>
      <c r="BT10" s="11"/>
      <c r="BU10" s="11"/>
      <c r="BV10" s="11"/>
      <c r="BW10" s="11"/>
      <c r="BX10" s="15"/>
      <c r="BY10" s="16"/>
      <c r="CB10" s="8" t="s">
        <v>23</v>
      </c>
      <c r="CC10" s="11"/>
      <c r="CD10" s="11"/>
      <c r="CE10" s="11"/>
      <c r="CF10" s="11"/>
      <c r="CG10" s="11"/>
      <c r="CH10" s="15"/>
      <c r="CI10" s="16"/>
      <c r="CL10" s="8" t="s">
        <v>23</v>
      </c>
      <c r="CM10" s="11"/>
      <c r="CN10" s="11"/>
      <c r="CO10" s="11"/>
      <c r="CP10" s="11"/>
      <c r="CQ10" s="11"/>
      <c r="CR10" s="15"/>
      <c r="CS10" s="16"/>
      <c r="CV10" s="8" t="s">
        <v>23</v>
      </c>
      <c r="CW10" s="11"/>
      <c r="CX10" s="11"/>
      <c r="CY10" s="11"/>
      <c r="CZ10" s="11"/>
      <c r="DA10" s="11"/>
      <c r="DB10" s="15"/>
      <c r="DC10" s="16"/>
      <c r="DD10" s="11">
        <v>10</v>
      </c>
      <c r="DG10" s="8" t="s">
        <v>23</v>
      </c>
      <c r="DH10" s="11"/>
      <c r="DI10" s="11"/>
      <c r="DJ10" s="11"/>
      <c r="DK10" s="11"/>
      <c r="DL10" s="11"/>
      <c r="DO10" s="8" t="s">
        <v>23</v>
      </c>
      <c r="DP10" s="11"/>
      <c r="DQ10" s="11"/>
      <c r="DR10" s="11"/>
      <c r="DS10" s="11"/>
      <c r="DT10" s="11"/>
      <c r="DU10" s="15"/>
      <c r="DV10" s="16"/>
      <c r="DY10" s="8" t="s">
        <v>23</v>
      </c>
      <c r="DZ10" s="11"/>
      <c r="EA10" s="11"/>
      <c r="EB10" s="11"/>
      <c r="EC10" s="11"/>
      <c r="ED10" s="11"/>
      <c r="EE10" s="15"/>
      <c r="EF10" s="16"/>
      <c r="EI10" s="8" t="s">
        <v>23</v>
      </c>
      <c r="EJ10" s="11"/>
      <c r="EK10" s="11"/>
      <c r="EL10" s="11"/>
      <c r="EM10" s="11"/>
      <c r="EN10" s="11"/>
      <c r="EO10" s="15"/>
      <c r="EP10" s="16"/>
      <c r="ES10" s="8" t="s">
        <v>23</v>
      </c>
      <c r="ET10" s="11"/>
      <c r="EU10" s="11"/>
      <c r="EV10" s="11"/>
      <c r="EW10" s="11"/>
      <c r="EX10" s="11"/>
      <c r="EY10" s="15"/>
      <c r="EZ10" s="16"/>
      <c r="FA10" s="11">
        <v>8</v>
      </c>
    </row>
    <row r="11" spans="2:157" ht="16.8" customHeight="1" x14ac:dyDescent="0.3">
      <c r="B11" s="5" t="s">
        <v>330</v>
      </c>
      <c r="C11" s="5">
        <v>5</v>
      </c>
      <c r="F11" s="8" t="s">
        <v>24</v>
      </c>
      <c r="G11" s="11" t="s">
        <v>232</v>
      </c>
      <c r="H11" s="11" t="s">
        <v>602</v>
      </c>
      <c r="I11" s="11"/>
      <c r="J11" s="11"/>
      <c r="K11" s="11"/>
      <c r="L11" s="15"/>
      <c r="M11" s="16"/>
      <c r="P11" s="8" t="s">
        <v>24</v>
      </c>
      <c r="Q11" s="11" t="s">
        <v>243</v>
      </c>
      <c r="R11" s="11" t="s">
        <v>697</v>
      </c>
      <c r="S11" s="11"/>
      <c r="T11" s="11"/>
      <c r="U11" s="11"/>
      <c r="X11" s="8" t="s">
        <v>24</v>
      </c>
      <c r="Y11" s="11"/>
      <c r="Z11" s="11"/>
      <c r="AA11" s="11"/>
      <c r="AB11" s="11"/>
      <c r="AC11" s="11"/>
      <c r="AD11" s="11"/>
      <c r="AG11" s="8" t="s">
        <v>24</v>
      </c>
      <c r="AH11" s="11"/>
      <c r="AI11" s="11"/>
      <c r="AJ11" s="11"/>
      <c r="AK11" s="11"/>
      <c r="AL11" s="11"/>
      <c r="AM11" s="11"/>
      <c r="AP11" s="8" t="s">
        <v>24</v>
      </c>
      <c r="AQ11" s="11"/>
      <c r="AR11" s="11"/>
      <c r="AS11" s="11"/>
      <c r="AT11" s="11"/>
      <c r="AU11" s="11"/>
      <c r="AV11" s="11"/>
      <c r="AW11" s="11">
        <v>3</v>
      </c>
      <c r="AZ11" s="8" t="s">
        <v>24</v>
      </c>
      <c r="BA11" s="11"/>
      <c r="BB11" s="11"/>
      <c r="BC11" s="11"/>
      <c r="BD11" s="11"/>
      <c r="BE11" s="11"/>
      <c r="BH11" s="8" t="s">
        <v>24</v>
      </c>
      <c r="BI11" s="11"/>
      <c r="BJ11" s="11"/>
      <c r="BK11" s="11"/>
      <c r="BL11" s="11"/>
      <c r="BM11" s="11"/>
      <c r="BN11" s="15"/>
      <c r="BO11" s="16"/>
      <c r="BR11" s="8" t="s">
        <v>24</v>
      </c>
      <c r="BS11" s="11"/>
      <c r="BT11" s="11"/>
      <c r="BU11" s="11"/>
      <c r="BV11" s="11"/>
      <c r="BW11" s="11"/>
      <c r="BX11" s="15"/>
      <c r="BY11" s="16"/>
      <c r="CB11" s="8" t="s">
        <v>24</v>
      </c>
      <c r="CC11" s="11"/>
      <c r="CD11" s="11"/>
      <c r="CE11" s="11"/>
      <c r="CF11" s="11"/>
      <c r="CG11" s="11"/>
      <c r="CH11" s="15"/>
      <c r="CI11" s="16"/>
      <c r="CL11" s="8" t="s">
        <v>24</v>
      </c>
      <c r="CM11" s="11"/>
      <c r="CN11" s="11"/>
      <c r="CO11" s="11"/>
      <c r="CP11" s="11"/>
      <c r="CQ11" s="11"/>
      <c r="CR11" s="15"/>
      <c r="CS11" s="16"/>
      <c r="CV11" s="8" t="s">
        <v>24</v>
      </c>
      <c r="CW11" s="11"/>
      <c r="CX11" s="11"/>
      <c r="CY11" s="11"/>
      <c r="CZ11" s="11"/>
      <c r="DA11" s="11"/>
      <c r="DB11" s="15"/>
      <c r="DC11" s="16"/>
      <c r="DD11" s="11">
        <v>8</v>
      </c>
      <c r="DG11" s="8" t="s">
        <v>24</v>
      </c>
      <c r="DH11" s="11"/>
      <c r="DI11" s="11"/>
      <c r="DJ11" s="11"/>
      <c r="DK11" s="11"/>
      <c r="DL11" s="11"/>
      <c r="DO11" s="8" t="s">
        <v>24</v>
      </c>
      <c r="DP11" s="11"/>
      <c r="DQ11" s="11"/>
      <c r="DR11" s="11"/>
      <c r="DS11" s="11"/>
      <c r="DT11" s="11"/>
      <c r="DU11" s="15"/>
      <c r="DV11" s="16"/>
      <c r="DY11" s="8" t="s">
        <v>24</v>
      </c>
      <c r="DZ11" s="11"/>
      <c r="EA11" s="11"/>
      <c r="EB11" s="11"/>
      <c r="EC11" s="11"/>
      <c r="ED11" s="11"/>
      <c r="EE11" s="15"/>
      <c r="EF11" s="16"/>
      <c r="EI11" s="8" t="s">
        <v>24</v>
      </c>
      <c r="EJ11" s="11"/>
      <c r="EK11" s="11"/>
      <c r="EL11" s="11"/>
      <c r="EM11" s="11"/>
      <c r="EN11" s="11"/>
      <c r="EO11" s="15"/>
      <c r="EP11" s="16"/>
      <c r="ES11" s="8" t="s">
        <v>24</v>
      </c>
      <c r="ET11" s="11"/>
      <c r="EU11" s="11"/>
      <c r="EV11" s="11"/>
      <c r="EW11" s="11"/>
      <c r="EX11" s="11"/>
      <c r="EY11" s="15"/>
      <c r="EZ11" s="16"/>
      <c r="FA11" s="11">
        <v>7</v>
      </c>
    </row>
    <row r="12" spans="2:157" ht="16.8" customHeight="1" x14ac:dyDescent="0.3">
      <c r="B12" s="5" t="s">
        <v>331</v>
      </c>
      <c r="C12" s="5">
        <v>10</v>
      </c>
      <c r="F12" s="8" t="s">
        <v>25</v>
      </c>
      <c r="G12" s="11" t="s">
        <v>215</v>
      </c>
      <c r="H12" s="11" t="s">
        <v>603</v>
      </c>
      <c r="I12" s="11"/>
      <c r="J12" s="11"/>
      <c r="K12" s="11"/>
      <c r="L12" s="15"/>
      <c r="M12" s="16"/>
      <c r="P12" s="8" t="s">
        <v>25</v>
      </c>
      <c r="Q12" s="11" t="s">
        <v>187</v>
      </c>
      <c r="R12" s="11" t="s">
        <v>700</v>
      </c>
      <c r="S12" s="11"/>
      <c r="T12" s="11"/>
      <c r="U12" s="11"/>
      <c r="X12" s="8" t="s">
        <v>25</v>
      </c>
      <c r="Y12" s="11"/>
      <c r="Z12" s="11"/>
      <c r="AA12" s="11"/>
      <c r="AB12" s="11"/>
      <c r="AC12" s="11"/>
      <c r="AD12" s="11"/>
      <c r="AG12" s="8" t="s">
        <v>25</v>
      </c>
      <c r="AH12" s="11"/>
      <c r="AI12" s="11"/>
      <c r="AJ12" s="11"/>
      <c r="AK12" s="11"/>
      <c r="AL12" s="11"/>
      <c r="AM12" s="11"/>
      <c r="AP12" s="8" t="s">
        <v>25</v>
      </c>
      <c r="AQ12" s="11"/>
      <c r="AR12" s="11"/>
      <c r="AS12" s="11"/>
      <c r="AT12" s="11"/>
      <c r="AU12" s="11"/>
      <c r="AV12" s="11"/>
      <c r="AW12" s="11">
        <v>2</v>
      </c>
      <c r="AZ12" s="8" t="s">
        <v>25</v>
      </c>
      <c r="BA12" s="11"/>
      <c r="BB12" s="11"/>
      <c r="BC12" s="11"/>
      <c r="BD12" s="11"/>
      <c r="BE12" s="11"/>
      <c r="BH12" s="8" t="s">
        <v>25</v>
      </c>
      <c r="BI12" s="11"/>
      <c r="BJ12" s="11"/>
      <c r="BK12" s="11"/>
      <c r="BL12" s="11"/>
      <c r="BM12" s="11"/>
      <c r="BN12" s="15"/>
      <c r="BO12" s="16"/>
      <c r="BR12" s="8" t="s">
        <v>25</v>
      </c>
      <c r="BS12" s="11"/>
      <c r="BT12" s="11"/>
      <c r="BU12" s="11"/>
      <c r="BV12" s="11"/>
      <c r="BW12" s="11"/>
      <c r="BX12" s="15"/>
      <c r="BY12" s="16"/>
      <c r="CB12" s="8" t="s">
        <v>25</v>
      </c>
      <c r="CC12" s="11"/>
      <c r="CD12" s="11"/>
      <c r="CE12" s="11"/>
      <c r="CF12" s="11"/>
      <c r="CG12" s="11"/>
      <c r="CH12" s="15"/>
      <c r="CI12" s="16"/>
      <c r="CL12" s="8" t="s">
        <v>25</v>
      </c>
      <c r="CM12" s="11"/>
      <c r="CN12" s="11"/>
      <c r="CO12" s="11"/>
      <c r="CP12" s="11"/>
      <c r="CQ12" s="11"/>
      <c r="CR12" s="15"/>
      <c r="CS12" s="16"/>
      <c r="CV12" s="8" t="s">
        <v>25</v>
      </c>
      <c r="CW12" s="11"/>
      <c r="CX12" s="11"/>
      <c r="CY12" s="11"/>
      <c r="CZ12" s="11"/>
      <c r="DA12" s="11"/>
      <c r="DB12" s="15"/>
      <c r="DC12" s="16"/>
      <c r="DD12" s="11">
        <v>6</v>
      </c>
      <c r="DG12" s="8" t="s">
        <v>25</v>
      </c>
      <c r="DH12" s="11"/>
      <c r="DI12" s="11"/>
      <c r="DJ12" s="11"/>
      <c r="DK12" s="11"/>
      <c r="DL12" s="11"/>
      <c r="DO12" s="8" t="s">
        <v>25</v>
      </c>
      <c r="DP12" s="11"/>
      <c r="DQ12" s="11"/>
      <c r="DR12" s="11"/>
      <c r="DS12" s="11"/>
      <c r="DT12" s="11"/>
      <c r="DU12" s="15"/>
      <c r="DV12" s="16"/>
      <c r="DY12" s="8" t="s">
        <v>25</v>
      </c>
      <c r="DZ12" s="11"/>
      <c r="EA12" s="11"/>
      <c r="EB12" s="11"/>
      <c r="EC12" s="11"/>
      <c r="ED12" s="11"/>
      <c r="EE12" s="15"/>
      <c r="EF12" s="16"/>
      <c r="EI12" s="8" t="s">
        <v>25</v>
      </c>
      <c r="EJ12" s="11"/>
      <c r="EK12" s="11"/>
      <c r="EL12" s="11"/>
      <c r="EM12" s="11"/>
      <c r="EN12" s="11"/>
      <c r="EO12" s="15"/>
      <c r="EP12" s="16"/>
      <c r="ES12" s="8" t="s">
        <v>25</v>
      </c>
      <c r="ET12" s="11"/>
      <c r="EU12" s="11"/>
      <c r="EV12" s="11"/>
      <c r="EW12" s="11"/>
      <c r="EX12" s="11"/>
      <c r="EY12" s="15"/>
      <c r="EZ12" s="16"/>
      <c r="FA12" s="11">
        <v>6</v>
      </c>
    </row>
    <row r="13" spans="2:157" ht="16.8" customHeight="1" x14ac:dyDescent="0.3">
      <c r="B13" s="5" t="s">
        <v>332</v>
      </c>
      <c r="C13" s="5">
        <v>15</v>
      </c>
      <c r="F13" s="8" t="s">
        <v>26</v>
      </c>
      <c r="G13" s="11" t="s">
        <v>285</v>
      </c>
      <c r="H13" s="11" t="s">
        <v>712</v>
      </c>
      <c r="I13" s="11"/>
      <c r="J13" s="11"/>
      <c r="K13" s="11"/>
      <c r="L13" s="15"/>
      <c r="M13" s="16"/>
      <c r="P13" s="8" t="s">
        <v>26</v>
      </c>
      <c r="Q13" s="11" t="s">
        <v>286</v>
      </c>
      <c r="R13" s="11" t="s">
        <v>703</v>
      </c>
      <c r="S13" s="11"/>
      <c r="T13" s="11"/>
      <c r="U13" s="11"/>
      <c r="X13" s="8" t="s">
        <v>26</v>
      </c>
      <c r="Y13" s="11"/>
      <c r="Z13" s="11"/>
      <c r="AA13" s="11"/>
      <c r="AB13" s="11"/>
      <c r="AC13" s="11"/>
      <c r="AD13" s="11"/>
      <c r="AG13" s="8" t="s">
        <v>26</v>
      </c>
      <c r="AH13" s="11"/>
      <c r="AI13" s="11"/>
      <c r="AJ13" s="11"/>
      <c r="AK13" s="11"/>
      <c r="AL13" s="11"/>
      <c r="AM13" s="11"/>
      <c r="AP13" s="8" t="s">
        <v>26</v>
      </c>
      <c r="AQ13" s="11"/>
      <c r="AR13" s="11"/>
      <c r="AS13" s="11"/>
      <c r="AT13" s="11"/>
      <c r="AU13" s="11"/>
      <c r="AV13" s="11"/>
      <c r="AW13" s="11">
        <v>1</v>
      </c>
      <c r="AZ13" s="8" t="s">
        <v>26</v>
      </c>
      <c r="BA13" s="11"/>
      <c r="BB13" s="11"/>
      <c r="BC13" s="11"/>
      <c r="BD13" s="11"/>
      <c r="BE13" s="11"/>
      <c r="BH13" s="8" t="s">
        <v>26</v>
      </c>
      <c r="BI13" s="11"/>
      <c r="BJ13" s="11"/>
      <c r="BK13" s="11"/>
      <c r="BL13" s="11"/>
      <c r="BM13" s="11"/>
      <c r="BN13" s="15"/>
      <c r="BO13" s="16"/>
      <c r="BR13" s="8" t="s">
        <v>26</v>
      </c>
      <c r="BS13" s="11"/>
      <c r="BT13" s="11"/>
      <c r="BU13" s="11"/>
      <c r="BV13" s="11"/>
      <c r="BW13" s="11"/>
      <c r="BX13" s="15"/>
      <c r="BY13" s="16"/>
      <c r="CB13" s="8" t="s">
        <v>26</v>
      </c>
      <c r="CC13" s="11"/>
      <c r="CD13" s="11"/>
      <c r="CE13" s="11"/>
      <c r="CF13" s="11"/>
      <c r="CG13" s="11"/>
      <c r="CH13" s="15"/>
      <c r="CI13" s="16"/>
      <c r="CL13" s="8" t="s">
        <v>26</v>
      </c>
      <c r="CM13" s="11"/>
      <c r="CN13" s="11"/>
      <c r="CO13" s="11"/>
      <c r="CP13" s="11"/>
      <c r="CQ13" s="11"/>
      <c r="CR13" s="15"/>
      <c r="CS13" s="16"/>
      <c r="CV13" s="8" t="s">
        <v>26</v>
      </c>
      <c r="CW13" s="11"/>
      <c r="CX13" s="11"/>
      <c r="CY13" s="11"/>
      <c r="CZ13" s="11"/>
      <c r="DA13" s="11"/>
      <c r="DB13" s="15"/>
      <c r="DC13" s="16"/>
      <c r="DD13" s="11">
        <v>5</v>
      </c>
      <c r="DG13" s="8" t="s">
        <v>26</v>
      </c>
      <c r="DH13" s="11"/>
      <c r="DI13" s="11"/>
      <c r="DJ13" s="11"/>
      <c r="DK13" s="11"/>
      <c r="DL13" s="11"/>
      <c r="DO13" s="8" t="s">
        <v>26</v>
      </c>
      <c r="DP13" s="11"/>
      <c r="DQ13" s="11"/>
      <c r="DR13" s="11"/>
      <c r="DS13" s="11"/>
      <c r="DT13" s="11"/>
      <c r="DU13" s="15"/>
      <c r="DV13" s="16"/>
      <c r="DY13" s="8" t="s">
        <v>26</v>
      </c>
      <c r="DZ13" s="11"/>
      <c r="EA13" s="11"/>
      <c r="EB13" s="11"/>
      <c r="EC13" s="11"/>
      <c r="ED13" s="11"/>
      <c r="EE13" s="15"/>
      <c r="EF13" s="16"/>
      <c r="EI13" s="8" t="s">
        <v>26</v>
      </c>
      <c r="EJ13" s="11"/>
      <c r="EK13" s="11"/>
      <c r="EL13" s="11"/>
      <c r="EM13" s="11"/>
      <c r="EN13" s="11"/>
      <c r="EO13" s="15"/>
      <c r="EP13" s="16"/>
      <c r="ES13" s="8" t="s">
        <v>26</v>
      </c>
      <c r="ET13" s="11"/>
      <c r="EU13" s="11"/>
      <c r="EV13" s="11"/>
      <c r="EW13" s="11"/>
      <c r="EX13" s="11"/>
      <c r="EY13" s="15"/>
      <c r="EZ13" s="16"/>
      <c r="FA13" s="11">
        <v>5</v>
      </c>
    </row>
    <row r="14" spans="2:157" ht="16.8" customHeight="1" x14ac:dyDescent="0.3">
      <c r="B14" s="5" t="s">
        <v>333</v>
      </c>
      <c r="C14" s="5">
        <v>20</v>
      </c>
      <c r="F14" s="8" t="s">
        <v>27</v>
      </c>
      <c r="G14" s="11" t="s">
        <v>262</v>
      </c>
      <c r="H14" s="11" t="s">
        <v>713</v>
      </c>
      <c r="I14" s="11"/>
      <c r="J14" s="11"/>
      <c r="K14" s="11"/>
      <c r="L14" s="15"/>
      <c r="M14" s="16"/>
      <c r="P14" s="8" t="s">
        <v>27</v>
      </c>
      <c r="Q14" s="11" t="s">
        <v>434</v>
      </c>
      <c r="R14" s="11" t="s">
        <v>705</v>
      </c>
      <c r="S14" s="11"/>
      <c r="T14" s="11"/>
      <c r="U14" s="11"/>
      <c r="X14" s="8" t="s">
        <v>27</v>
      </c>
      <c r="Y14" s="11"/>
      <c r="Z14" s="11"/>
      <c r="AA14" s="11"/>
      <c r="AB14" s="11"/>
      <c r="AC14" s="11"/>
      <c r="AD14" s="11"/>
      <c r="AG14" s="8" t="s">
        <v>27</v>
      </c>
      <c r="AH14" s="11"/>
      <c r="AI14" s="11"/>
      <c r="AJ14" s="11"/>
      <c r="AK14" s="11"/>
      <c r="AL14" s="11"/>
      <c r="AM14" s="11"/>
      <c r="AP14" s="8" t="s">
        <v>27</v>
      </c>
      <c r="AQ14" s="11"/>
      <c r="AR14" s="11"/>
      <c r="AS14" s="11"/>
      <c r="AT14" s="11"/>
      <c r="AU14" s="11"/>
      <c r="AV14" s="11"/>
      <c r="AW14" s="11"/>
      <c r="AZ14" s="8" t="s">
        <v>27</v>
      </c>
      <c r="BA14" s="11"/>
      <c r="BB14" s="11"/>
      <c r="BC14" s="11"/>
      <c r="BD14" s="11"/>
      <c r="BE14" s="11"/>
      <c r="BH14" s="8" t="s">
        <v>27</v>
      </c>
      <c r="BI14" s="11"/>
      <c r="BJ14" s="11"/>
      <c r="BK14" s="11"/>
      <c r="BL14" s="11"/>
      <c r="BM14" s="11"/>
      <c r="BN14" s="15"/>
      <c r="BO14" s="16"/>
      <c r="BR14" s="8" t="s">
        <v>27</v>
      </c>
      <c r="BS14" s="11"/>
      <c r="BT14" s="11"/>
      <c r="BU14" s="11"/>
      <c r="BV14" s="11"/>
      <c r="BW14" s="11"/>
      <c r="BX14" s="15"/>
      <c r="BY14" s="16"/>
      <c r="CB14" s="8" t="s">
        <v>27</v>
      </c>
      <c r="CC14" s="11"/>
      <c r="CD14" s="11"/>
      <c r="CE14" s="11"/>
      <c r="CF14" s="11"/>
      <c r="CG14" s="11"/>
      <c r="CH14" s="15"/>
      <c r="CI14" s="16"/>
      <c r="CL14" s="8" t="s">
        <v>27</v>
      </c>
      <c r="CM14" s="11"/>
      <c r="CN14" s="11"/>
      <c r="CO14" s="11"/>
      <c r="CP14" s="11"/>
      <c r="CQ14" s="11"/>
      <c r="CR14" s="15"/>
      <c r="CS14" s="16"/>
      <c r="CV14" s="8" t="s">
        <v>27</v>
      </c>
      <c r="CW14" s="11"/>
      <c r="CX14" s="11"/>
      <c r="CY14" s="11"/>
      <c r="CZ14" s="11"/>
      <c r="DA14" s="11"/>
      <c r="DB14" s="15"/>
      <c r="DC14" s="16"/>
      <c r="DD14" s="11">
        <v>4</v>
      </c>
      <c r="DG14" s="8" t="s">
        <v>27</v>
      </c>
      <c r="DH14" s="11"/>
      <c r="DI14" s="11"/>
      <c r="DJ14" s="11"/>
      <c r="DK14" s="11"/>
      <c r="DL14" s="11"/>
      <c r="DO14" s="8" t="s">
        <v>27</v>
      </c>
      <c r="DP14" s="11"/>
      <c r="DQ14" s="11"/>
      <c r="DR14" s="11"/>
      <c r="DS14" s="11"/>
      <c r="DT14" s="11"/>
      <c r="DU14" s="15"/>
      <c r="DV14" s="16"/>
      <c r="DY14" s="8" t="s">
        <v>27</v>
      </c>
      <c r="DZ14" s="11"/>
      <c r="EA14" s="11"/>
      <c r="EB14" s="11"/>
      <c r="EC14" s="11"/>
      <c r="ED14" s="11"/>
      <c r="EE14" s="15"/>
      <c r="EF14" s="16"/>
      <c r="EI14" s="8" t="s">
        <v>27</v>
      </c>
      <c r="EJ14" s="11"/>
      <c r="EK14" s="11"/>
      <c r="EL14" s="11"/>
      <c r="EM14" s="11"/>
      <c r="EN14" s="11"/>
      <c r="EO14" s="15"/>
      <c r="EP14" s="16"/>
      <c r="ES14" s="8" t="s">
        <v>27</v>
      </c>
      <c r="ET14" s="11"/>
      <c r="EU14" s="11"/>
      <c r="EV14" s="11"/>
      <c r="EW14" s="11"/>
      <c r="EX14" s="11"/>
      <c r="EY14" s="15"/>
      <c r="EZ14" s="16"/>
      <c r="FA14" s="11">
        <v>4</v>
      </c>
    </row>
    <row r="15" spans="2:157" ht="16.8" customHeight="1" thickBot="1" x14ac:dyDescent="0.35">
      <c r="F15" s="8" t="s">
        <v>28</v>
      </c>
      <c r="G15" s="11" t="s">
        <v>207</v>
      </c>
      <c r="H15" s="11" t="s">
        <v>714</v>
      </c>
      <c r="I15" s="11"/>
      <c r="J15" s="11"/>
      <c r="K15" s="11"/>
      <c r="L15" s="15"/>
      <c r="M15" s="16"/>
      <c r="P15" s="8" t="s">
        <v>28</v>
      </c>
      <c r="Q15" s="11" t="s">
        <v>190</v>
      </c>
      <c r="R15" s="11" t="s">
        <v>708</v>
      </c>
      <c r="S15" s="11"/>
      <c r="T15" s="11"/>
      <c r="U15" s="11"/>
      <c r="X15" s="8" t="s">
        <v>28</v>
      </c>
      <c r="Y15" s="11"/>
      <c r="Z15" s="11"/>
      <c r="AA15" s="11"/>
      <c r="AB15" s="11"/>
      <c r="AC15" s="11"/>
      <c r="AD15" s="11"/>
      <c r="AG15" s="9" t="s">
        <v>28</v>
      </c>
      <c r="AH15" s="12"/>
      <c r="AI15" s="12"/>
      <c r="AJ15" s="12"/>
      <c r="AK15" s="12"/>
      <c r="AL15" s="12"/>
      <c r="AM15" s="12"/>
      <c r="AP15" s="8" t="s">
        <v>28</v>
      </c>
      <c r="AQ15" s="11"/>
      <c r="AR15" s="11"/>
      <c r="AS15" s="11"/>
      <c r="AT15" s="11"/>
      <c r="AU15" s="11"/>
      <c r="AV15" s="11"/>
      <c r="AW15" s="11"/>
      <c r="AZ15" s="8" t="s">
        <v>28</v>
      </c>
      <c r="BA15" s="11"/>
      <c r="BB15" s="11"/>
      <c r="BC15" s="11"/>
      <c r="BD15" s="11"/>
      <c r="BE15" s="11"/>
      <c r="BH15" s="8" t="s">
        <v>28</v>
      </c>
      <c r="BI15" s="11"/>
      <c r="BJ15" s="11"/>
      <c r="BK15" s="11"/>
      <c r="BL15" s="11"/>
      <c r="BM15" s="11"/>
      <c r="BN15" s="15"/>
      <c r="BO15" s="16"/>
      <c r="BR15" s="8" t="s">
        <v>28</v>
      </c>
      <c r="BS15" s="11"/>
      <c r="BT15" s="11"/>
      <c r="BU15" s="11"/>
      <c r="BV15" s="11"/>
      <c r="BW15" s="11"/>
      <c r="BX15" s="15"/>
      <c r="BY15" s="16"/>
      <c r="CB15" s="8" t="s">
        <v>28</v>
      </c>
      <c r="CC15" s="11"/>
      <c r="CD15" s="11"/>
      <c r="CE15" s="11"/>
      <c r="CF15" s="11"/>
      <c r="CG15" s="11"/>
      <c r="CH15" s="15"/>
      <c r="CI15" s="16"/>
      <c r="CL15" s="8" t="s">
        <v>28</v>
      </c>
      <c r="CM15" s="11"/>
      <c r="CN15" s="11"/>
      <c r="CO15" s="11"/>
      <c r="CP15" s="11"/>
      <c r="CQ15" s="11"/>
      <c r="CR15" s="15"/>
      <c r="CS15" s="16"/>
      <c r="CV15" s="8" t="s">
        <v>28</v>
      </c>
      <c r="CW15" s="11"/>
      <c r="CX15" s="11"/>
      <c r="CY15" s="11"/>
      <c r="CZ15" s="11"/>
      <c r="DA15" s="11"/>
      <c r="DB15" s="15"/>
      <c r="DC15" s="16"/>
      <c r="DD15" s="11">
        <v>3</v>
      </c>
      <c r="DG15" s="8" t="s">
        <v>28</v>
      </c>
      <c r="DH15" s="11"/>
      <c r="DI15" s="11"/>
      <c r="DJ15" s="11"/>
      <c r="DK15" s="11"/>
      <c r="DL15" s="11"/>
      <c r="DO15" s="8" t="s">
        <v>28</v>
      </c>
      <c r="DP15" s="11"/>
      <c r="DQ15" s="11"/>
      <c r="DR15" s="11"/>
      <c r="DS15" s="11"/>
      <c r="DT15" s="11"/>
      <c r="DU15" s="15"/>
      <c r="DV15" s="16"/>
      <c r="DY15" s="8" t="s">
        <v>28</v>
      </c>
      <c r="DZ15" s="11"/>
      <c r="EA15" s="11"/>
      <c r="EB15" s="11"/>
      <c r="EC15" s="11"/>
      <c r="ED15" s="11"/>
      <c r="EE15" s="15"/>
      <c r="EF15" s="16"/>
      <c r="EI15" s="8" t="s">
        <v>28</v>
      </c>
      <c r="EJ15" s="11"/>
      <c r="EK15" s="11"/>
      <c r="EL15" s="11"/>
      <c r="EM15" s="11"/>
      <c r="EN15" s="11"/>
      <c r="EO15" s="15"/>
      <c r="EP15" s="16"/>
      <c r="ES15" s="8" t="s">
        <v>28</v>
      </c>
      <c r="ET15" s="11"/>
      <c r="EU15" s="11"/>
      <c r="EV15" s="11"/>
      <c r="EW15" s="11"/>
      <c r="EX15" s="11"/>
      <c r="EY15" s="15"/>
      <c r="EZ15" s="16"/>
      <c r="FA15" s="11">
        <v>3</v>
      </c>
    </row>
    <row r="16" spans="2:157" ht="16.8" customHeight="1" x14ac:dyDescent="0.3">
      <c r="F16" s="8" t="s">
        <v>29</v>
      </c>
      <c r="G16" s="11" t="s">
        <v>193</v>
      </c>
      <c r="H16" s="11" t="s">
        <v>691</v>
      </c>
      <c r="I16" s="11"/>
      <c r="J16" s="11"/>
      <c r="K16" s="11"/>
      <c r="L16" s="15"/>
      <c r="M16" s="16"/>
      <c r="P16" s="8" t="s">
        <v>29</v>
      </c>
      <c r="Q16" s="11"/>
      <c r="R16" s="11"/>
      <c r="S16" s="11"/>
      <c r="T16" s="11"/>
      <c r="U16" s="11"/>
      <c r="X16" s="8" t="s">
        <v>29</v>
      </c>
      <c r="Y16" s="11"/>
      <c r="Z16" s="11"/>
      <c r="AA16" s="11"/>
      <c r="AB16" s="11"/>
      <c r="AC16" s="11"/>
      <c r="AD16" s="11"/>
      <c r="AP16" s="8" t="s">
        <v>29</v>
      </c>
      <c r="AQ16" s="11"/>
      <c r="AR16" s="11"/>
      <c r="AS16" s="11"/>
      <c r="AT16" s="11"/>
      <c r="AU16" s="11"/>
      <c r="AV16" s="11"/>
      <c r="AW16" s="11"/>
      <c r="AZ16" s="8" t="s">
        <v>29</v>
      </c>
      <c r="BA16" s="11"/>
      <c r="BB16" s="11"/>
      <c r="BC16" s="11"/>
      <c r="BD16" s="11"/>
      <c r="BE16" s="11"/>
      <c r="BH16" s="8" t="s">
        <v>29</v>
      </c>
      <c r="BI16" s="11"/>
      <c r="BJ16" s="11"/>
      <c r="BK16" s="11"/>
      <c r="BL16" s="11"/>
      <c r="BM16" s="11"/>
      <c r="BN16" s="15"/>
      <c r="BO16" s="16"/>
      <c r="BR16" s="8" t="s">
        <v>29</v>
      </c>
      <c r="BS16" s="11"/>
      <c r="BT16" s="11"/>
      <c r="BU16" s="11"/>
      <c r="BV16" s="11"/>
      <c r="BW16" s="11"/>
      <c r="BX16" s="15"/>
      <c r="BY16" s="16"/>
      <c r="CB16" s="8" t="s">
        <v>29</v>
      </c>
      <c r="CC16" s="11"/>
      <c r="CD16" s="11"/>
      <c r="CE16" s="11"/>
      <c r="CF16" s="11"/>
      <c r="CG16" s="11"/>
      <c r="CH16" s="15"/>
      <c r="CI16" s="16"/>
      <c r="CL16" s="8" t="s">
        <v>29</v>
      </c>
      <c r="CM16" s="11"/>
      <c r="CN16" s="11"/>
      <c r="CO16" s="11"/>
      <c r="CP16" s="11"/>
      <c r="CQ16" s="11"/>
      <c r="CR16" s="15"/>
      <c r="CS16" s="16"/>
      <c r="CV16" s="8" t="s">
        <v>29</v>
      </c>
      <c r="CW16" s="11"/>
      <c r="CX16" s="11"/>
      <c r="CY16" s="11"/>
      <c r="CZ16" s="11"/>
      <c r="DA16" s="11"/>
      <c r="DB16" s="15"/>
      <c r="DC16" s="16"/>
      <c r="DD16" s="11">
        <v>2</v>
      </c>
      <c r="DG16" s="8" t="s">
        <v>29</v>
      </c>
      <c r="DH16" s="11"/>
      <c r="DI16" s="11"/>
      <c r="DJ16" s="11"/>
      <c r="DK16" s="11"/>
      <c r="DL16" s="11"/>
      <c r="DO16" s="8" t="s">
        <v>29</v>
      </c>
      <c r="DP16" s="11"/>
      <c r="DQ16" s="11"/>
      <c r="DR16" s="11"/>
      <c r="DS16" s="11"/>
      <c r="DT16" s="11"/>
      <c r="DU16" s="15"/>
      <c r="DV16" s="16"/>
      <c r="DY16" s="8" t="s">
        <v>29</v>
      </c>
      <c r="DZ16" s="11"/>
      <c r="EA16" s="11"/>
      <c r="EB16" s="11"/>
      <c r="EC16" s="11"/>
      <c r="ED16" s="11"/>
      <c r="EE16" s="15"/>
      <c r="EF16" s="16"/>
      <c r="EI16" s="8" t="s">
        <v>29</v>
      </c>
      <c r="EJ16" s="11"/>
      <c r="EK16" s="11"/>
      <c r="EL16" s="11"/>
      <c r="EM16" s="11"/>
      <c r="EN16" s="11"/>
      <c r="EO16" s="15"/>
      <c r="EP16" s="16"/>
      <c r="ES16" s="8" t="s">
        <v>29</v>
      </c>
      <c r="ET16" s="11"/>
      <c r="EU16" s="11"/>
      <c r="EV16" s="11"/>
      <c r="EW16" s="11"/>
      <c r="EX16" s="11"/>
      <c r="EY16" s="15"/>
      <c r="EZ16" s="16"/>
      <c r="FA16" s="11">
        <v>2</v>
      </c>
    </row>
    <row r="17" spans="2:157" ht="16.8" customHeight="1" x14ac:dyDescent="0.3">
      <c r="B17" s="5" t="s">
        <v>102</v>
      </c>
      <c r="C17" s="5" t="str">
        <f>IF(C4 = "NC", VLOOKUP(CONCATENATE(C4), calendar, 8, FALSE), VLOOKUP(CONCATENATE("E", C4), calendar, 8, FALSE))</f>
        <v>31 Laps</v>
      </c>
      <c r="F17" s="8" t="s">
        <v>30</v>
      </c>
      <c r="G17" s="11" t="s">
        <v>563</v>
      </c>
      <c r="H17" s="11" t="s">
        <v>692</v>
      </c>
      <c r="I17" s="11"/>
      <c r="J17" s="11"/>
      <c r="K17" s="11"/>
      <c r="L17" s="15"/>
      <c r="M17" s="16"/>
      <c r="P17" s="8" t="s">
        <v>30</v>
      </c>
      <c r="Q17" s="11"/>
      <c r="R17" s="11"/>
      <c r="S17" s="11"/>
      <c r="T17" s="11"/>
      <c r="U17" s="11"/>
      <c r="X17" s="8" t="s">
        <v>30</v>
      </c>
      <c r="Y17" s="11"/>
      <c r="Z17" s="11"/>
      <c r="AA17" s="11"/>
      <c r="AB17" s="11"/>
      <c r="AC17" s="11"/>
      <c r="AD17" s="11"/>
      <c r="AP17" s="8" t="s">
        <v>30</v>
      </c>
      <c r="AQ17" s="11"/>
      <c r="AR17" s="11"/>
      <c r="AS17" s="11"/>
      <c r="AT17" s="11"/>
      <c r="AU17" s="11"/>
      <c r="AV17" s="11"/>
      <c r="AW17" s="11"/>
      <c r="AZ17" s="8" t="s">
        <v>30</v>
      </c>
      <c r="BA17" s="11"/>
      <c r="BB17" s="11"/>
      <c r="BC17" s="11"/>
      <c r="BD17" s="11"/>
      <c r="BE17" s="11"/>
      <c r="BH17" s="8" t="s">
        <v>30</v>
      </c>
      <c r="BI17" s="11"/>
      <c r="BJ17" s="11"/>
      <c r="BK17" s="11"/>
      <c r="BL17" s="11"/>
      <c r="BM17" s="11"/>
      <c r="BN17" s="15"/>
      <c r="BO17" s="16"/>
      <c r="BR17" s="8" t="s">
        <v>30</v>
      </c>
      <c r="BS17" s="11"/>
      <c r="BT17" s="11"/>
      <c r="BU17" s="11"/>
      <c r="BV17" s="11"/>
      <c r="BW17" s="11"/>
      <c r="BX17" s="15"/>
      <c r="BY17" s="16"/>
      <c r="CB17" s="8" t="s">
        <v>30</v>
      </c>
      <c r="CC17" s="11"/>
      <c r="CD17" s="11"/>
      <c r="CE17" s="11"/>
      <c r="CF17" s="11"/>
      <c r="CG17" s="11"/>
      <c r="CH17" s="15"/>
      <c r="CI17" s="16"/>
      <c r="CL17" s="8" t="s">
        <v>30</v>
      </c>
      <c r="CM17" s="11"/>
      <c r="CN17" s="11"/>
      <c r="CO17" s="11"/>
      <c r="CP17" s="11"/>
      <c r="CQ17" s="11"/>
      <c r="CR17" s="15"/>
      <c r="CS17" s="16"/>
      <c r="CV17" s="8" t="s">
        <v>30</v>
      </c>
      <c r="CW17" s="11"/>
      <c r="CX17" s="11"/>
      <c r="CY17" s="11"/>
      <c r="CZ17" s="11"/>
      <c r="DA17" s="11"/>
      <c r="DB17" s="15"/>
      <c r="DC17" s="16"/>
      <c r="DD17" s="11">
        <v>1</v>
      </c>
      <c r="DG17" s="8" t="s">
        <v>30</v>
      </c>
      <c r="DH17" s="11"/>
      <c r="DI17" s="11"/>
      <c r="DJ17" s="11"/>
      <c r="DK17" s="11"/>
      <c r="DL17" s="11"/>
      <c r="DO17" s="8" t="s">
        <v>30</v>
      </c>
      <c r="DP17" s="11"/>
      <c r="DQ17" s="11"/>
      <c r="DR17" s="11"/>
      <c r="DS17" s="11"/>
      <c r="DT17" s="11"/>
      <c r="DU17" s="15"/>
      <c r="DV17" s="16"/>
      <c r="DY17" s="8" t="s">
        <v>30</v>
      </c>
      <c r="DZ17" s="11"/>
      <c r="EA17" s="11"/>
      <c r="EB17" s="11"/>
      <c r="EC17" s="11"/>
      <c r="ED17" s="11"/>
      <c r="EE17" s="15"/>
      <c r="EF17" s="16"/>
      <c r="EI17" s="8" t="s">
        <v>30</v>
      </c>
      <c r="EJ17" s="11"/>
      <c r="EK17" s="11"/>
      <c r="EL17" s="11"/>
      <c r="EM17" s="11"/>
      <c r="EN17" s="11"/>
      <c r="EO17" s="15"/>
      <c r="EP17" s="16"/>
      <c r="ES17" s="8" t="s">
        <v>30</v>
      </c>
      <c r="ET17" s="11"/>
      <c r="EU17" s="11"/>
      <c r="EV17" s="11"/>
      <c r="EW17" s="11"/>
      <c r="EX17" s="11"/>
      <c r="EY17" s="15"/>
      <c r="EZ17" s="16"/>
      <c r="FA17" s="11">
        <v>1</v>
      </c>
    </row>
    <row r="18" spans="2:157" ht="16.8" customHeight="1" x14ac:dyDescent="0.3">
      <c r="B18" s="5" t="s">
        <v>330</v>
      </c>
      <c r="C18" s="5">
        <v>5</v>
      </c>
      <c r="F18" s="8" t="s">
        <v>46</v>
      </c>
      <c r="G18" s="11" t="s">
        <v>233</v>
      </c>
      <c r="H18" s="11" t="s">
        <v>693</v>
      </c>
      <c r="I18" s="11"/>
      <c r="J18" s="11"/>
      <c r="K18" s="11"/>
      <c r="L18" s="15"/>
      <c r="M18" s="16"/>
      <c r="P18" s="8" t="s">
        <v>46</v>
      </c>
      <c r="Q18" s="11"/>
      <c r="R18" s="11"/>
      <c r="S18" s="11"/>
      <c r="T18" s="11"/>
      <c r="U18" s="11"/>
      <c r="X18" s="8" t="s">
        <v>46</v>
      </c>
      <c r="Y18" s="11"/>
      <c r="Z18" s="11"/>
      <c r="AA18" s="11"/>
      <c r="AB18" s="11"/>
      <c r="AC18" s="11"/>
      <c r="AD18" s="11"/>
      <c r="AG18" s="20"/>
      <c r="AP18" s="8" t="s">
        <v>46</v>
      </c>
      <c r="AQ18" s="11"/>
      <c r="AR18" s="11"/>
      <c r="AS18" s="11"/>
      <c r="AT18" s="11"/>
      <c r="AU18" s="11"/>
      <c r="AV18" s="11"/>
      <c r="AW18" s="11"/>
      <c r="AZ18" s="8" t="s">
        <v>46</v>
      </c>
      <c r="BA18" s="11"/>
      <c r="BB18" s="11"/>
      <c r="BC18" s="11"/>
      <c r="BD18" s="11"/>
      <c r="BE18" s="11"/>
      <c r="BH18" s="8" t="s">
        <v>46</v>
      </c>
      <c r="BI18" s="11"/>
      <c r="BJ18" s="11"/>
      <c r="BK18" s="11"/>
      <c r="BL18" s="11"/>
      <c r="BM18" s="11"/>
      <c r="BN18" s="15"/>
      <c r="BO18" s="16"/>
      <c r="BR18" s="8" t="s">
        <v>46</v>
      </c>
      <c r="BS18" s="11"/>
      <c r="BT18" s="11"/>
      <c r="BU18" s="11"/>
      <c r="BV18" s="11"/>
      <c r="BW18" s="11"/>
      <c r="BX18" s="15"/>
      <c r="BY18" s="16"/>
      <c r="CB18" s="8" t="s">
        <v>46</v>
      </c>
      <c r="CC18" s="11"/>
      <c r="CD18" s="11"/>
      <c r="CE18" s="11"/>
      <c r="CF18" s="11"/>
      <c r="CG18" s="11"/>
      <c r="CH18" s="15"/>
      <c r="CI18" s="16"/>
      <c r="CL18" s="8" t="s">
        <v>46</v>
      </c>
      <c r="CM18" s="11"/>
      <c r="CN18" s="11"/>
      <c r="CO18" s="11"/>
      <c r="CP18" s="11"/>
      <c r="CQ18" s="11"/>
      <c r="CR18" s="15"/>
      <c r="CS18" s="16"/>
      <c r="CV18" s="8" t="s">
        <v>46</v>
      </c>
      <c r="CW18" s="11"/>
      <c r="CX18" s="11"/>
      <c r="CY18" s="11"/>
      <c r="CZ18" s="11"/>
      <c r="DA18" s="11"/>
      <c r="DB18" s="15"/>
      <c r="DC18" s="16"/>
      <c r="DD18" s="11"/>
      <c r="DG18" s="8" t="s">
        <v>46</v>
      </c>
      <c r="DH18" s="11"/>
      <c r="DI18" s="11"/>
      <c r="DJ18" s="11"/>
      <c r="DK18" s="11"/>
      <c r="DL18" s="11"/>
      <c r="DO18" s="8" t="s">
        <v>46</v>
      </c>
      <c r="DP18" s="11"/>
      <c r="DQ18" s="11"/>
      <c r="DR18" s="11"/>
      <c r="DS18" s="11"/>
      <c r="DT18" s="11"/>
      <c r="DU18" s="15"/>
      <c r="DV18" s="16"/>
      <c r="DY18" s="8" t="s">
        <v>46</v>
      </c>
      <c r="DZ18" s="11"/>
      <c r="EA18" s="11"/>
      <c r="EB18" s="11"/>
      <c r="EC18" s="11"/>
      <c r="ED18" s="11"/>
      <c r="EE18" s="15"/>
      <c r="EF18" s="16"/>
      <c r="EI18" s="8" t="s">
        <v>46</v>
      </c>
      <c r="EJ18" s="11"/>
      <c r="EK18" s="11"/>
      <c r="EL18" s="11"/>
      <c r="EM18" s="11"/>
      <c r="EN18" s="11"/>
      <c r="EO18" s="15"/>
      <c r="EP18" s="16"/>
      <c r="ES18" s="8" t="s">
        <v>46</v>
      </c>
      <c r="ET18" s="11"/>
      <c r="EU18" s="11"/>
      <c r="EV18" s="11"/>
      <c r="EW18" s="11"/>
      <c r="EX18" s="11"/>
      <c r="EY18" s="15"/>
      <c r="EZ18" s="16"/>
      <c r="FA18" s="11"/>
    </row>
    <row r="19" spans="2:157" ht="16.8" customHeight="1" x14ac:dyDescent="0.3">
      <c r="B19" s="5" t="s">
        <v>331</v>
      </c>
      <c r="C19" s="5">
        <v>10</v>
      </c>
      <c r="F19" s="8" t="s">
        <v>47</v>
      </c>
      <c r="G19" s="11" t="s">
        <v>290</v>
      </c>
      <c r="H19" s="11" t="s">
        <v>694</v>
      </c>
      <c r="I19" s="11"/>
      <c r="J19" s="11"/>
      <c r="K19" s="11"/>
      <c r="L19" s="15"/>
      <c r="M19" s="16"/>
      <c r="P19" s="8" t="s">
        <v>47</v>
      </c>
      <c r="Q19" s="11"/>
      <c r="R19" s="11"/>
      <c r="S19" s="11"/>
      <c r="T19" s="11"/>
      <c r="U19" s="11"/>
      <c r="X19" s="8" t="s">
        <v>47</v>
      </c>
      <c r="Y19" s="11"/>
      <c r="Z19" s="11"/>
      <c r="AA19" s="11"/>
      <c r="AB19" s="11"/>
      <c r="AC19" s="11"/>
      <c r="AD19" s="11"/>
      <c r="AP19" s="8" t="s">
        <v>47</v>
      </c>
      <c r="AQ19" s="11"/>
      <c r="AR19" s="11"/>
      <c r="AS19" s="11"/>
      <c r="AT19" s="11"/>
      <c r="AU19" s="11"/>
      <c r="AV19" s="11"/>
      <c r="AW19" s="11"/>
      <c r="AZ19" s="8" t="s">
        <v>47</v>
      </c>
      <c r="BA19" s="11"/>
      <c r="BB19" s="11"/>
      <c r="BC19" s="11"/>
      <c r="BD19" s="11"/>
      <c r="BE19" s="11"/>
      <c r="BH19" s="8" t="s">
        <v>47</v>
      </c>
      <c r="BI19" s="11"/>
      <c r="BJ19" s="11"/>
      <c r="BK19" s="11"/>
      <c r="BL19" s="11"/>
      <c r="BM19" s="11"/>
      <c r="BN19" s="15"/>
      <c r="BO19" s="16"/>
      <c r="BR19" s="8" t="s">
        <v>47</v>
      </c>
      <c r="BS19" s="11"/>
      <c r="BT19" s="11"/>
      <c r="BU19" s="11"/>
      <c r="BV19" s="11"/>
      <c r="BW19" s="11"/>
      <c r="BX19" s="15"/>
      <c r="BY19" s="16"/>
      <c r="CB19" s="8" t="s">
        <v>47</v>
      </c>
      <c r="CC19" s="11"/>
      <c r="CD19" s="11"/>
      <c r="CE19" s="11"/>
      <c r="CF19" s="11"/>
      <c r="CG19" s="11"/>
      <c r="CH19" s="15"/>
      <c r="CI19" s="16"/>
      <c r="CL19" s="8" t="s">
        <v>47</v>
      </c>
      <c r="CM19" s="11"/>
      <c r="CN19" s="11"/>
      <c r="CO19" s="11"/>
      <c r="CP19" s="11"/>
      <c r="CQ19" s="11"/>
      <c r="CR19" s="15"/>
      <c r="CS19" s="16"/>
      <c r="CV19" s="8" t="s">
        <v>47</v>
      </c>
      <c r="CW19" s="11"/>
      <c r="CX19" s="11"/>
      <c r="CY19" s="11"/>
      <c r="CZ19" s="11"/>
      <c r="DA19" s="11"/>
      <c r="DB19" s="15"/>
      <c r="DC19" s="16"/>
      <c r="DD19" s="11"/>
      <c r="DG19" s="8" t="s">
        <v>47</v>
      </c>
      <c r="DH19" s="11"/>
      <c r="DI19" s="11"/>
      <c r="DJ19" s="11"/>
      <c r="DK19" s="11"/>
      <c r="DL19" s="11"/>
      <c r="DO19" s="8" t="s">
        <v>47</v>
      </c>
      <c r="DP19" s="11"/>
      <c r="DQ19" s="11"/>
      <c r="DR19" s="11"/>
      <c r="DS19" s="11"/>
      <c r="DT19" s="11"/>
      <c r="DU19" s="15"/>
      <c r="DV19" s="16"/>
      <c r="DY19" s="8" t="s">
        <v>47</v>
      </c>
      <c r="DZ19" s="11"/>
      <c r="EA19" s="11"/>
      <c r="EB19" s="11"/>
      <c r="EC19" s="11"/>
      <c r="ED19" s="11"/>
      <c r="EE19" s="15"/>
      <c r="EF19" s="16"/>
      <c r="EI19" s="8" t="s">
        <v>47</v>
      </c>
      <c r="EJ19" s="11"/>
      <c r="EK19" s="11"/>
      <c r="EL19" s="11"/>
      <c r="EM19" s="11"/>
      <c r="EN19" s="11"/>
      <c r="EO19" s="15"/>
      <c r="EP19" s="16"/>
      <c r="ES19" s="8" t="s">
        <v>47</v>
      </c>
      <c r="ET19" s="11"/>
      <c r="EU19" s="11"/>
      <c r="EV19" s="11"/>
      <c r="EW19" s="11"/>
      <c r="EX19" s="11"/>
      <c r="EY19" s="15"/>
      <c r="EZ19" s="16"/>
      <c r="FA19" s="11"/>
    </row>
    <row r="20" spans="2:157" ht="16.8" customHeight="1" x14ac:dyDescent="0.3">
      <c r="B20" s="5" t="s">
        <v>332</v>
      </c>
      <c r="C20" s="5">
        <v>15</v>
      </c>
      <c r="F20" s="8" t="s">
        <v>48</v>
      </c>
      <c r="G20" s="11" t="s">
        <v>228</v>
      </c>
      <c r="H20" s="11" t="s">
        <v>695</v>
      </c>
      <c r="I20" s="11"/>
      <c r="J20" s="11"/>
      <c r="K20" s="11"/>
      <c r="L20" s="15"/>
      <c r="M20" s="16"/>
      <c r="P20" s="8" t="s">
        <v>48</v>
      </c>
      <c r="Q20" s="11"/>
      <c r="R20" s="11"/>
      <c r="S20" s="11"/>
      <c r="T20" s="11"/>
      <c r="U20" s="11"/>
      <c r="X20" s="8" t="s">
        <v>48</v>
      </c>
      <c r="Y20" s="11"/>
      <c r="Z20" s="11"/>
      <c r="AA20" s="11"/>
      <c r="AB20" s="11"/>
      <c r="AC20" s="11"/>
      <c r="AD20" s="11"/>
      <c r="AP20" s="8" t="s">
        <v>48</v>
      </c>
      <c r="AQ20" s="11"/>
      <c r="AR20" s="11"/>
      <c r="AS20" s="11"/>
      <c r="AT20" s="11"/>
      <c r="AU20" s="11"/>
      <c r="AV20" s="11"/>
      <c r="AW20" s="11"/>
      <c r="AZ20" s="8" t="s">
        <v>48</v>
      </c>
      <c r="BA20" s="11"/>
      <c r="BB20" s="11"/>
      <c r="BC20" s="11"/>
      <c r="BD20" s="11"/>
      <c r="BE20" s="11"/>
      <c r="BH20" s="8" t="s">
        <v>48</v>
      </c>
      <c r="BI20" s="11"/>
      <c r="BJ20" s="11"/>
      <c r="BK20" s="11"/>
      <c r="BL20" s="11"/>
      <c r="BM20" s="11"/>
      <c r="BN20" s="15"/>
      <c r="BO20" s="16"/>
      <c r="BR20" s="8" t="s">
        <v>48</v>
      </c>
      <c r="BS20" s="11"/>
      <c r="BT20" s="11"/>
      <c r="BU20" s="11"/>
      <c r="BV20" s="11"/>
      <c r="BW20" s="11"/>
      <c r="BX20" s="15"/>
      <c r="BY20" s="16"/>
      <c r="CB20" s="8" t="s">
        <v>48</v>
      </c>
      <c r="CC20" s="11"/>
      <c r="CD20" s="11"/>
      <c r="CE20" s="11"/>
      <c r="CF20" s="11"/>
      <c r="CG20" s="11"/>
      <c r="CH20" s="15"/>
      <c r="CI20" s="16"/>
      <c r="CL20" s="8" t="s">
        <v>48</v>
      </c>
      <c r="CM20" s="11"/>
      <c r="CN20" s="11"/>
      <c r="CO20" s="11"/>
      <c r="CP20" s="11"/>
      <c r="CQ20" s="11"/>
      <c r="CR20" s="15"/>
      <c r="CS20" s="16"/>
      <c r="CV20" s="8" t="s">
        <v>48</v>
      </c>
      <c r="CW20" s="11"/>
      <c r="CX20" s="11"/>
      <c r="CY20" s="11"/>
      <c r="CZ20" s="11"/>
      <c r="DA20" s="11"/>
      <c r="DB20" s="15"/>
      <c r="DC20" s="16"/>
      <c r="DD20" s="11"/>
      <c r="DG20" s="8" t="s">
        <v>48</v>
      </c>
      <c r="DH20" s="11"/>
      <c r="DI20" s="11"/>
      <c r="DJ20" s="11"/>
      <c r="DK20" s="11"/>
      <c r="DL20" s="11"/>
      <c r="DO20" s="8" t="s">
        <v>48</v>
      </c>
      <c r="DP20" s="11"/>
      <c r="DQ20" s="11"/>
      <c r="DR20" s="11"/>
      <c r="DS20" s="11"/>
      <c r="DT20" s="11"/>
      <c r="DU20" s="15"/>
      <c r="DV20" s="16"/>
      <c r="DY20" s="8" t="s">
        <v>48</v>
      </c>
      <c r="DZ20" s="11"/>
      <c r="EA20" s="11"/>
      <c r="EB20" s="11"/>
      <c r="EC20" s="11"/>
      <c r="ED20" s="11"/>
      <c r="EE20" s="15"/>
      <c r="EF20" s="16"/>
      <c r="EI20" s="8" t="s">
        <v>48</v>
      </c>
      <c r="EJ20" s="11"/>
      <c r="EK20" s="11"/>
      <c r="EL20" s="11"/>
      <c r="EM20" s="11"/>
      <c r="EN20" s="11"/>
      <c r="EO20" s="15"/>
      <c r="EP20" s="16"/>
      <c r="ES20" s="8" t="s">
        <v>48</v>
      </c>
      <c r="ET20" s="11"/>
      <c r="EU20" s="11"/>
      <c r="EV20" s="11"/>
      <c r="EW20" s="11"/>
      <c r="EX20" s="11"/>
      <c r="EY20" s="15"/>
      <c r="EZ20" s="16"/>
      <c r="FA20" s="11"/>
    </row>
    <row r="21" spans="2:157" ht="16.8" customHeight="1" x14ac:dyDescent="0.3">
      <c r="F21" s="8" t="s">
        <v>49</v>
      </c>
      <c r="G21" s="11" t="s">
        <v>235</v>
      </c>
      <c r="H21" s="11" t="s">
        <v>696</v>
      </c>
      <c r="I21" s="11"/>
      <c r="J21" s="11"/>
      <c r="K21" s="11"/>
      <c r="L21" s="15"/>
      <c r="M21" s="16"/>
      <c r="P21" s="8" t="s">
        <v>49</v>
      </c>
      <c r="Q21" s="11"/>
      <c r="R21" s="11"/>
      <c r="S21" s="11"/>
      <c r="T21" s="11"/>
      <c r="U21" s="11"/>
      <c r="X21" s="8" t="s">
        <v>49</v>
      </c>
      <c r="Y21" s="11"/>
      <c r="Z21" s="11"/>
      <c r="AA21" s="11"/>
      <c r="AB21" s="11"/>
      <c r="AC21" s="11"/>
      <c r="AD21" s="11"/>
      <c r="AP21" s="8" t="s">
        <v>49</v>
      </c>
      <c r="AQ21" s="11"/>
      <c r="AR21" s="11"/>
      <c r="AS21" s="11"/>
      <c r="AT21" s="11"/>
      <c r="AU21" s="11"/>
      <c r="AV21" s="11"/>
      <c r="AW21" s="11"/>
      <c r="AZ21" s="8" t="s">
        <v>49</v>
      </c>
      <c r="BA21" s="11"/>
      <c r="BB21" s="11"/>
      <c r="BC21" s="11"/>
      <c r="BD21" s="11"/>
      <c r="BE21" s="11"/>
      <c r="BH21" s="8" t="s">
        <v>49</v>
      </c>
      <c r="BI21" s="11"/>
      <c r="BJ21" s="11"/>
      <c r="BK21" s="11"/>
      <c r="BL21" s="11"/>
      <c r="BM21" s="11"/>
      <c r="BN21" s="15"/>
      <c r="BO21" s="16"/>
      <c r="BR21" s="8" t="s">
        <v>49</v>
      </c>
      <c r="BS21" s="11"/>
      <c r="BT21" s="11"/>
      <c r="BU21" s="11"/>
      <c r="BV21" s="11"/>
      <c r="BW21" s="11"/>
      <c r="BX21" s="15"/>
      <c r="BY21" s="16"/>
      <c r="CB21" s="8" t="s">
        <v>49</v>
      </c>
      <c r="CC21" s="11"/>
      <c r="CD21" s="11"/>
      <c r="CE21" s="11"/>
      <c r="CF21" s="11"/>
      <c r="CG21" s="11"/>
      <c r="CH21" s="15"/>
      <c r="CI21" s="16"/>
      <c r="CL21" s="8" t="s">
        <v>49</v>
      </c>
      <c r="CM21" s="11"/>
      <c r="CN21" s="11"/>
      <c r="CO21" s="11"/>
      <c r="CP21" s="11"/>
      <c r="CQ21" s="11"/>
      <c r="CR21" s="15"/>
      <c r="CS21" s="16"/>
      <c r="CV21" s="8" t="s">
        <v>49</v>
      </c>
      <c r="CW21" s="11"/>
      <c r="CX21" s="11"/>
      <c r="CY21" s="11"/>
      <c r="CZ21" s="11"/>
      <c r="DA21" s="11"/>
      <c r="DB21" s="15"/>
      <c r="DC21" s="16"/>
      <c r="DD21" s="11"/>
      <c r="DG21" s="8" t="s">
        <v>49</v>
      </c>
      <c r="DH21" s="11"/>
      <c r="DI21" s="11"/>
      <c r="DJ21" s="11"/>
      <c r="DK21" s="11"/>
      <c r="DL21" s="11"/>
      <c r="DO21" s="8" t="s">
        <v>49</v>
      </c>
      <c r="DP21" s="11"/>
      <c r="DQ21" s="11"/>
      <c r="DR21" s="11"/>
      <c r="DS21" s="11"/>
      <c r="DT21" s="11"/>
      <c r="DU21" s="15"/>
      <c r="DV21" s="16"/>
      <c r="DY21" s="8" t="s">
        <v>49</v>
      </c>
      <c r="DZ21" s="11"/>
      <c r="EA21" s="11"/>
      <c r="EB21" s="11"/>
      <c r="EC21" s="11"/>
      <c r="ED21" s="11"/>
      <c r="EE21" s="15"/>
      <c r="EF21" s="16"/>
      <c r="EI21" s="8" t="s">
        <v>49</v>
      </c>
      <c r="EJ21" s="11"/>
      <c r="EK21" s="11"/>
      <c r="EL21" s="11"/>
      <c r="EM21" s="11"/>
      <c r="EN21" s="11"/>
      <c r="EO21" s="15"/>
      <c r="EP21" s="16"/>
      <c r="ES21" s="8" t="s">
        <v>49</v>
      </c>
      <c r="ET21" s="11"/>
      <c r="EU21" s="11"/>
      <c r="EV21" s="11"/>
      <c r="EW21" s="11"/>
      <c r="EX21" s="11"/>
      <c r="EY21" s="15"/>
      <c r="EZ21" s="16"/>
      <c r="FA21" s="11"/>
    </row>
    <row r="22" spans="2:157" ht="16.8" customHeight="1" x14ac:dyDescent="0.3">
      <c r="F22" s="8" t="s">
        <v>50</v>
      </c>
      <c r="G22" s="11" t="s">
        <v>245</v>
      </c>
      <c r="H22" s="11" t="s">
        <v>697</v>
      </c>
      <c r="I22" s="11"/>
      <c r="J22" s="11"/>
      <c r="K22" s="11"/>
      <c r="L22" s="15"/>
      <c r="M22" s="16"/>
      <c r="P22" s="8" t="s">
        <v>50</v>
      </c>
      <c r="Q22" s="11"/>
      <c r="R22" s="11"/>
      <c r="S22" s="11"/>
      <c r="T22" s="11"/>
      <c r="U22" s="11"/>
      <c r="X22" s="8" t="s">
        <v>50</v>
      </c>
      <c r="Y22" s="11"/>
      <c r="Z22" s="11"/>
      <c r="AA22" s="11"/>
      <c r="AB22" s="11"/>
      <c r="AC22" s="11"/>
      <c r="AD22" s="11"/>
      <c r="AP22" s="8" t="s">
        <v>50</v>
      </c>
      <c r="AQ22" s="11"/>
      <c r="AR22" s="11"/>
      <c r="AS22" s="11"/>
      <c r="AT22" s="11"/>
      <c r="AU22" s="11"/>
      <c r="AV22" s="11"/>
      <c r="AW22" s="11"/>
      <c r="AZ22" s="8" t="s">
        <v>50</v>
      </c>
      <c r="BA22" s="11"/>
      <c r="BB22" s="11"/>
      <c r="BC22" s="11"/>
      <c r="BD22" s="11"/>
      <c r="BE22" s="11"/>
      <c r="BH22" s="8" t="s">
        <v>50</v>
      </c>
      <c r="BI22" s="11"/>
      <c r="BJ22" s="11"/>
      <c r="BK22" s="11"/>
      <c r="BL22" s="11"/>
      <c r="BM22" s="11"/>
      <c r="BN22" s="15"/>
      <c r="BO22" s="16"/>
      <c r="BR22" s="8" t="s">
        <v>50</v>
      </c>
      <c r="BS22" s="11"/>
      <c r="BT22" s="11"/>
      <c r="BU22" s="11"/>
      <c r="BV22" s="11"/>
      <c r="BW22" s="11"/>
      <c r="BX22" s="15"/>
      <c r="BY22" s="16"/>
      <c r="CB22" s="8" t="s">
        <v>50</v>
      </c>
      <c r="CC22" s="11"/>
      <c r="CD22" s="11"/>
      <c r="CE22" s="11"/>
      <c r="CF22" s="11"/>
      <c r="CG22" s="11"/>
      <c r="CH22" s="15"/>
      <c r="CI22" s="16"/>
      <c r="CL22" s="8" t="s">
        <v>50</v>
      </c>
      <c r="CM22" s="11"/>
      <c r="CN22" s="11"/>
      <c r="CO22" s="11"/>
      <c r="CP22" s="11"/>
      <c r="CQ22" s="11"/>
      <c r="CR22" s="15"/>
      <c r="CS22" s="16"/>
      <c r="CV22" s="8" t="s">
        <v>50</v>
      </c>
      <c r="CW22" s="11"/>
      <c r="CX22" s="11"/>
      <c r="CY22" s="11"/>
      <c r="CZ22" s="11"/>
      <c r="DA22" s="11"/>
      <c r="DB22" s="15"/>
      <c r="DC22" s="16"/>
      <c r="DD22" s="11"/>
      <c r="DG22" s="8" t="s">
        <v>50</v>
      </c>
      <c r="DH22" s="11"/>
      <c r="DI22" s="11"/>
      <c r="DJ22" s="11"/>
      <c r="DK22" s="11"/>
      <c r="DL22" s="11"/>
      <c r="DO22" s="8" t="s">
        <v>50</v>
      </c>
      <c r="DP22" s="11"/>
      <c r="DQ22" s="11"/>
      <c r="DR22" s="11"/>
      <c r="DS22" s="11"/>
      <c r="DT22" s="11"/>
      <c r="DU22" s="15"/>
      <c r="DV22" s="16"/>
      <c r="DY22" s="8" t="s">
        <v>50</v>
      </c>
      <c r="DZ22" s="11"/>
      <c r="EA22" s="11"/>
      <c r="EB22" s="11"/>
      <c r="EC22" s="11"/>
      <c r="ED22" s="11"/>
      <c r="EE22" s="15"/>
      <c r="EF22" s="16"/>
      <c r="EI22" s="8" t="s">
        <v>50</v>
      </c>
      <c r="EJ22" s="11"/>
      <c r="EK22" s="11"/>
      <c r="EL22" s="11"/>
      <c r="EM22" s="11"/>
      <c r="EN22" s="11"/>
      <c r="EO22" s="15"/>
      <c r="EP22" s="16"/>
      <c r="ES22" s="8" t="s">
        <v>50</v>
      </c>
      <c r="ET22" s="11"/>
      <c r="EU22" s="11"/>
      <c r="EV22" s="11"/>
      <c r="EW22" s="11"/>
      <c r="EX22" s="11"/>
      <c r="EY22" s="15"/>
      <c r="EZ22" s="16"/>
      <c r="FA22" s="11"/>
    </row>
    <row r="23" spans="2:157" ht="16.8" customHeight="1" x14ac:dyDescent="0.3">
      <c r="F23" s="8" t="s">
        <v>51</v>
      </c>
      <c r="G23" s="11" t="s">
        <v>298</v>
      </c>
      <c r="H23" s="11" t="s">
        <v>698</v>
      </c>
      <c r="I23" s="11"/>
      <c r="J23" s="11"/>
      <c r="K23" s="11"/>
      <c r="L23" s="15"/>
      <c r="M23" s="16"/>
      <c r="P23" s="8" t="s">
        <v>51</v>
      </c>
      <c r="Q23" s="11"/>
      <c r="R23" s="11"/>
      <c r="S23" s="11"/>
      <c r="T23" s="11"/>
      <c r="U23" s="11"/>
      <c r="X23" s="8" t="s">
        <v>51</v>
      </c>
      <c r="Y23" s="11"/>
      <c r="Z23" s="11"/>
      <c r="AA23" s="11"/>
      <c r="AB23" s="11"/>
      <c r="AC23" s="11"/>
      <c r="AD23" s="11"/>
      <c r="AP23" s="8" t="s">
        <v>51</v>
      </c>
      <c r="AQ23" s="11"/>
      <c r="AR23" s="11"/>
      <c r="AS23" s="11"/>
      <c r="AT23" s="11"/>
      <c r="AU23" s="11"/>
      <c r="AV23" s="11"/>
      <c r="AW23" s="11"/>
      <c r="AZ23" s="8" t="s">
        <v>51</v>
      </c>
      <c r="BA23" s="11"/>
      <c r="BB23" s="11"/>
      <c r="BC23" s="11"/>
      <c r="BD23" s="11"/>
      <c r="BE23" s="11"/>
      <c r="BH23" s="8" t="s">
        <v>51</v>
      </c>
      <c r="BI23" s="11"/>
      <c r="BJ23" s="11"/>
      <c r="BK23" s="11"/>
      <c r="BL23" s="11"/>
      <c r="BM23" s="11"/>
      <c r="BN23" s="15"/>
      <c r="BO23" s="16"/>
      <c r="BR23" s="8" t="s">
        <v>51</v>
      </c>
      <c r="BS23" s="11"/>
      <c r="BT23" s="11"/>
      <c r="BU23" s="11"/>
      <c r="BV23" s="11"/>
      <c r="BW23" s="11"/>
      <c r="BX23" s="15"/>
      <c r="BY23" s="16"/>
      <c r="CB23" s="8" t="s">
        <v>51</v>
      </c>
      <c r="CC23" s="11"/>
      <c r="CD23" s="11"/>
      <c r="CE23" s="11"/>
      <c r="CF23" s="11"/>
      <c r="CG23" s="11"/>
      <c r="CH23" s="15"/>
      <c r="CI23" s="16"/>
      <c r="CL23" s="8" t="s">
        <v>51</v>
      </c>
      <c r="CM23" s="11"/>
      <c r="CN23" s="11"/>
      <c r="CO23" s="11"/>
      <c r="CP23" s="11"/>
      <c r="CQ23" s="11"/>
      <c r="CR23" s="15"/>
      <c r="CS23" s="16"/>
      <c r="CV23" s="8" t="s">
        <v>51</v>
      </c>
      <c r="CW23" s="11"/>
      <c r="CX23" s="11"/>
      <c r="CY23" s="11"/>
      <c r="CZ23" s="11"/>
      <c r="DA23" s="11"/>
      <c r="DB23" s="15"/>
      <c r="DC23" s="16"/>
      <c r="DD23" s="11"/>
      <c r="DG23" s="8" t="s">
        <v>51</v>
      </c>
      <c r="DH23" s="11"/>
      <c r="DI23" s="11"/>
      <c r="DJ23" s="11"/>
      <c r="DK23" s="11"/>
      <c r="DL23" s="11"/>
      <c r="DO23" s="8" t="s">
        <v>51</v>
      </c>
      <c r="DP23" s="11"/>
      <c r="DQ23" s="11"/>
      <c r="DR23" s="11"/>
      <c r="DS23" s="11"/>
      <c r="DT23" s="11"/>
      <c r="DU23" s="15"/>
      <c r="DV23" s="16"/>
      <c r="DY23" s="8" t="s">
        <v>51</v>
      </c>
      <c r="DZ23" s="11"/>
      <c r="EA23" s="11"/>
      <c r="EB23" s="11"/>
      <c r="EC23" s="11"/>
      <c r="ED23" s="11"/>
      <c r="EE23" s="15"/>
      <c r="EF23" s="16"/>
      <c r="EI23" s="8" t="s">
        <v>51</v>
      </c>
      <c r="EJ23" s="11"/>
      <c r="EK23" s="11"/>
      <c r="EL23" s="11"/>
      <c r="EM23" s="11"/>
      <c r="EN23" s="11"/>
      <c r="EO23" s="15"/>
      <c r="EP23" s="16"/>
      <c r="ES23" s="8" t="s">
        <v>51</v>
      </c>
      <c r="ET23" s="11"/>
      <c r="EU23" s="11"/>
      <c r="EV23" s="11"/>
      <c r="EW23" s="11"/>
      <c r="EX23" s="11"/>
      <c r="EY23" s="15"/>
      <c r="EZ23" s="16"/>
      <c r="FA23" s="11"/>
    </row>
    <row r="24" spans="2:157" ht="16.8" customHeight="1" x14ac:dyDescent="0.3">
      <c r="F24" s="8" t="s">
        <v>52</v>
      </c>
      <c r="G24" s="11" t="s">
        <v>208</v>
      </c>
      <c r="H24" s="11" t="s">
        <v>699</v>
      </c>
      <c r="I24" s="11"/>
      <c r="J24" s="11"/>
      <c r="K24" s="11"/>
      <c r="L24" s="15"/>
      <c r="M24" s="16"/>
      <c r="P24" s="8" t="s">
        <v>52</v>
      </c>
      <c r="Q24" s="11"/>
      <c r="R24" s="11"/>
      <c r="S24" s="11"/>
      <c r="T24" s="11"/>
      <c r="U24" s="11"/>
      <c r="X24" s="8" t="s">
        <v>52</v>
      </c>
      <c r="Y24" s="11"/>
      <c r="Z24" s="11"/>
      <c r="AA24" s="11"/>
      <c r="AB24" s="11"/>
      <c r="AC24" s="11"/>
      <c r="AD24" s="11"/>
      <c r="AP24" s="8" t="s">
        <v>52</v>
      </c>
      <c r="AQ24" s="11"/>
      <c r="AR24" s="11"/>
      <c r="AS24" s="11"/>
      <c r="AT24" s="11"/>
      <c r="AU24" s="11"/>
      <c r="AV24" s="11"/>
      <c r="AW24" s="11"/>
      <c r="AZ24" s="8" t="s">
        <v>52</v>
      </c>
      <c r="BA24" s="11"/>
      <c r="BB24" s="11"/>
      <c r="BC24" s="11"/>
      <c r="BD24" s="11"/>
      <c r="BE24" s="11"/>
      <c r="BH24" s="8" t="s">
        <v>52</v>
      </c>
      <c r="BI24" s="11"/>
      <c r="BJ24" s="11"/>
      <c r="BK24" s="11"/>
      <c r="BL24" s="11"/>
      <c r="BM24" s="11"/>
      <c r="BN24" s="15"/>
      <c r="BO24" s="16"/>
      <c r="BR24" s="8" t="s">
        <v>52</v>
      </c>
      <c r="BS24" s="11"/>
      <c r="BT24" s="11"/>
      <c r="BU24" s="11"/>
      <c r="BV24" s="11"/>
      <c r="BW24" s="11"/>
      <c r="BX24" s="15"/>
      <c r="BY24" s="16"/>
      <c r="CB24" s="8" t="s">
        <v>52</v>
      </c>
      <c r="CC24" s="11"/>
      <c r="CD24" s="11"/>
      <c r="CE24" s="11"/>
      <c r="CF24" s="11"/>
      <c r="CG24" s="11"/>
      <c r="CH24" s="15"/>
      <c r="CI24" s="16"/>
      <c r="CL24" s="8" t="s">
        <v>52</v>
      </c>
      <c r="CM24" s="11"/>
      <c r="CN24" s="11"/>
      <c r="CO24" s="11"/>
      <c r="CP24" s="11"/>
      <c r="CQ24" s="11"/>
      <c r="CR24" s="15"/>
      <c r="CS24" s="16"/>
      <c r="CV24" s="8" t="s">
        <v>52</v>
      </c>
      <c r="CW24" s="11"/>
      <c r="CX24" s="11"/>
      <c r="CY24" s="11"/>
      <c r="CZ24" s="11"/>
      <c r="DA24" s="11"/>
      <c r="DB24" s="15"/>
      <c r="DC24" s="16"/>
      <c r="DD24" s="11"/>
      <c r="DG24" s="8" t="s">
        <v>52</v>
      </c>
      <c r="DH24" s="11"/>
      <c r="DI24" s="11"/>
      <c r="DJ24" s="11"/>
      <c r="DK24" s="11"/>
      <c r="DL24" s="11"/>
      <c r="DO24" s="8" t="s">
        <v>52</v>
      </c>
      <c r="DP24" s="11"/>
      <c r="DQ24" s="11"/>
      <c r="DR24" s="11"/>
      <c r="DS24" s="11"/>
      <c r="DT24" s="11"/>
      <c r="DU24" s="15"/>
      <c r="DV24" s="16"/>
      <c r="DY24" s="8" t="s">
        <v>52</v>
      </c>
      <c r="DZ24" s="11"/>
      <c r="EA24" s="11"/>
      <c r="EB24" s="11"/>
      <c r="EC24" s="11"/>
      <c r="ED24" s="11"/>
      <c r="EE24" s="15"/>
      <c r="EF24" s="16"/>
      <c r="EI24" s="8" t="s">
        <v>52</v>
      </c>
      <c r="EJ24" s="11"/>
      <c r="EK24" s="11"/>
      <c r="EL24" s="11"/>
      <c r="EM24" s="11"/>
      <c r="EN24" s="11"/>
      <c r="EO24" s="15"/>
      <c r="EP24" s="16"/>
      <c r="ES24" s="8" t="s">
        <v>52</v>
      </c>
      <c r="ET24" s="11"/>
      <c r="EU24" s="11"/>
      <c r="EV24" s="11"/>
      <c r="EW24" s="11"/>
      <c r="EX24" s="11"/>
      <c r="EY24" s="15"/>
      <c r="EZ24" s="16"/>
      <c r="FA24" s="11"/>
    </row>
    <row r="25" spans="2:157" ht="16.8" customHeight="1" x14ac:dyDescent="0.3">
      <c r="F25" s="8" t="s">
        <v>53</v>
      </c>
      <c r="G25" s="11" t="s">
        <v>184</v>
      </c>
      <c r="H25" s="11" t="s">
        <v>700</v>
      </c>
      <c r="I25" s="11"/>
      <c r="J25" s="11"/>
      <c r="K25" s="11"/>
      <c r="L25" s="15"/>
      <c r="M25" s="16"/>
      <c r="P25" s="8" t="s">
        <v>53</v>
      </c>
      <c r="Q25" s="11"/>
      <c r="R25" s="11"/>
      <c r="S25" s="11"/>
      <c r="T25" s="11"/>
      <c r="U25" s="11"/>
      <c r="X25" s="8" t="s">
        <v>53</v>
      </c>
      <c r="Y25" s="11"/>
      <c r="Z25" s="11"/>
      <c r="AA25" s="11"/>
      <c r="AB25" s="11"/>
      <c r="AC25" s="11"/>
      <c r="AD25" s="11"/>
      <c r="AP25" s="8" t="s">
        <v>53</v>
      </c>
      <c r="AQ25" s="11"/>
      <c r="AR25" s="11"/>
      <c r="AS25" s="11"/>
      <c r="AT25" s="11"/>
      <c r="AU25" s="11"/>
      <c r="AV25" s="11"/>
      <c r="AW25" s="11"/>
      <c r="AZ25" s="8" t="s">
        <v>53</v>
      </c>
      <c r="BA25" s="11"/>
      <c r="BB25" s="11"/>
      <c r="BC25" s="11"/>
      <c r="BD25" s="11"/>
      <c r="BE25" s="11"/>
      <c r="BH25" s="8" t="s">
        <v>53</v>
      </c>
      <c r="BI25" s="11"/>
      <c r="BJ25" s="11"/>
      <c r="BK25" s="11"/>
      <c r="BL25" s="11"/>
      <c r="BM25" s="11"/>
      <c r="BN25" s="15"/>
      <c r="BO25" s="16"/>
      <c r="BR25" s="8" t="s">
        <v>53</v>
      </c>
      <c r="BS25" s="11"/>
      <c r="BT25" s="11"/>
      <c r="BU25" s="11"/>
      <c r="BV25" s="11"/>
      <c r="BW25" s="11"/>
      <c r="BX25" s="15"/>
      <c r="BY25" s="16"/>
      <c r="CB25" s="8" t="s">
        <v>53</v>
      </c>
      <c r="CC25" s="11"/>
      <c r="CD25" s="11"/>
      <c r="CE25" s="11"/>
      <c r="CF25" s="11"/>
      <c r="CG25" s="11"/>
      <c r="CH25" s="15"/>
      <c r="CI25" s="16"/>
      <c r="CL25" s="8" t="s">
        <v>53</v>
      </c>
      <c r="CM25" s="11"/>
      <c r="CN25" s="11"/>
      <c r="CO25" s="11"/>
      <c r="CP25" s="11"/>
      <c r="CQ25" s="11"/>
      <c r="CR25" s="15"/>
      <c r="CS25" s="16"/>
      <c r="CV25" s="8" t="s">
        <v>53</v>
      </c>
      <c r="CW25" s="11"/>
      <c r="CX25" s="11"/>
      <c r="CY25" s="11"/>
      <c r="CZ25" s="11"/>
      <c r="DA25" s="11"/>
      <c r="DB25" s="15"/>
      <c r="DC25" s="16"/>
      <c r="DD25" s="11"/>
      <c r="DG25" s="8" t="s">
        <v>53</v>
      </c>
      <c r="DH25" s="11"/>
      <c r="DI25" s="11"/>
      <c r="DJ25" s="11"/>
      <c r="DK25" s="11"/>
      <c r="DL25" s="11"/>
      <c r="DO25" s="8" t="s">
        <v>53</v>
      </c>
      <c r="DP25" s="11"/>
      <c r="DQ25" s="11"/>
      <c r="DR25" s="11"/>
      <c r="DS25" s="11"/>
      <c r="DT25" s="11"/>
      <c r="DU25" s="15"/>
      <c r="DV25" s="16"/>
      <c r="DY25" s="8" t="s">
        <v>53</v>
      </c>
      <c r="DZ25" s="11"/>
      <c r="EA25" s="11"/>
      <c r="EB25" s="11"/>
      <c r="EC25" s="11"/>
      <c r="ED25" s="11"/>
      <c r="EE25" s="15"/>
      <c r="EF25" s="16"/>
      <c r="EI25" s="8" t="s">
        <v>53</v>
      </c>
      <c r="EJ25" s="11"/>
      <c r="EK25" s="11"/>
      <c r="EL25" s="11"/>
      <c r="EM25" s="11"/>
      <c r="EN25" s="11"/>
      <c r="EO25" s="15"/>
      <c r="EP25" s="16"/>
      <c r="ES25" s="8" t="s">
        <v>53</v>
      </c>
      <c r="ET25" s="11"/>
      <c r="EU25" s="11"/>
      <c r="EV25" s="11"/>
      <c r="EW25" s="11"/>
      <c r="EX25" s="11"/>
      <c r="EY25" s="15"/>
      <c r="EZ25" s="16"/>
      <c r="FA25" s="11"/>
    </row>
    <row r="26" spans="2:157" ht="16.8" customHeight="1" x14ac:dyDescent="0.3">
      <c r="F26" s="8" t="s">
        <v>54</v>
      </c>
      <c r="G26" s="11" t="s">
        <v>194</v>
      </c>
      <c r="H26" s="11" t="s">
        <v>701</v>
      </c>
      <c r="I26" s="11"/>
      <c r="J26" s="11"/>
      <c r="K26" s="11"/>
      <c r="L26" s="15"/>
      <c r="M26" s="16"/>
      <c r="P26" s="8" t="s">
        <v>54</v>
      </c>
      <c r="Q26" s="11"/>
      <c r="R26" s="11"/>
      <c r="S26" s="11"/>
      <c r="T26" s="11"/>
      <c r="U26" s="11"/>
      <c r="X26" s="8" t="s">
        <v>54</v>
      </c>
      <c r="Y26" s="11"/>
      <c r="Z26" s="11"/>
      <c r="AA26" s="11"/>
      <c r="AB26" s="11"/>
      <c r="AC26" s="11"/>
      <c r="AD26" s="11"/>
      <c r="AP26" s="8" t="s">
        <v>54</v>
      </c>
      <c r="AQ26" s="11"/>
      <c r="AR26" s="11"/>
      <c r="AS26" s="11"/>
      <c r="AT26" s="11"/>
      <c r="AU26" s="11"/>
      <c r="AV26" s="11"/>
      <c r="AW26" s="11"/>
      <c r="AZ26" s="8" t="s">
        <v>54</v>
      </c>
      <c r="BA26" s="11"/>
      <c r="BB26" s="11"/>
      <c r="BC26" s="11"/>
      <c r="BD26" s="11"/>
      <c r="BE26" s="11"/>
      <c r="BH26" s="8" t="s">
        <v>54</v>
      </c>
      <c r="BI26" s="11"/>
      <c r="BJ26" s="11"/>
      <c r="BK26" s="11"/>
      <c r="BL26" s="11"/>
      <c r="BM26" s="11"/>
      <c r="BN26" s="15"/>
      <c r="BO26" s="16"/>
      <c r="BR26" s="8" t="s">
        <v>54</v>
      </c>
      <c r="BS26" s="11"/>
      <c r="BT26" s="11"/>
      <c r="BU26" s="11"/>
      <c r="BV26" s="11"/>
      <c r="BW26" s="11"/>
      <c r="BX26" s="15"/>
      <c r="BY26" s="16"/>
      <c r="CB26" s="8" t="s">
        <v>54</v>
      </c>
      <c r="CC26" s="11"/>
      <c r="CD26" s="11"/>
      <c r="CE26" s="11"/>
      <c r="CF26" s="11"/>
      <c r="CG26" s="11"/>
      <c r="CH26" s="15"/>
      <c r="CI26" s="16"/>
      <c r="CL26" s="8" t="s">
        <v>54</v>
      </c>
      <c r="CM26" s="11"/>
      <c r="CN26" s="11"/>
      <c r="CO26" s="11"/>
      <c r="CP26" s="11"/>
      <c r="CQ26" s="11"/>
      <c r="CR26" s="15"/>
      <c r="CS26" s="16"/>
      <c r="CV26" s="8" t="s">
        <v>54</v>
      </c>
      <c r="CW26" s="11"/>
      <c r="CX26" s="11"/>
      <c r="CY26" s="11"/>
      <c r="CZ26" s="11"/>
      <c r="DA26" s="11"/>
      <c r="DB26" s="15"/>
      <c r="DC26" s="16"/>
      <c r="DD26" s="11"/>
      <c r="DG26" s="8" t="s">
        <v>54</v>
      </c>
      <c r="DH26" s="11"/>
      <c r="DI26" s="11"/>
      <c r="DJ26" s="11"/>
      <c r="DK26" s="11"/>
      <c r="DL26" s="11"/>
      <c r="DO26" s="8" t="s">
        <v>54</v>
      </c>
      <c r="DP26" s="11"/>
      <c r="DQ26" s="11"/>
      <c r="DR26" s="11"/>
      <c r="DS26" s="11"/>
      <c r="DT26" s="11"/>
      <c r="DU26" s="15"/>
      <c r="DV26" s="16"/>
      <c r="DY26" s="8" t="s">
        <v>54</v>
      </c>
      <c r="DZ26" s="11"/>
      <c r="EA26" s="11"/>
      <c r="EB26" s="11"/>
      <c r="EC26" s="11"/>
      <c r="ED26" s="11"/>
      <c r="EE26" s="15"/>
      <c r="EF26" s="16"/>
      <c r="EI26" s="8" t="s">
        <v>54</v>
      </c>
      <c r="EJ26" s="11"/>
      <c r="EK26" s="11"/>
      <c r="EL26" s="11"/>
      <c r="EM26" s="11"/>
      <c r="EN26" s="11"/>
      <c r="EO26" s="15"/>
      <c r="EP26" s="16"/>
      <c r="ES26" s="8" t="s">
        <v>54</v>
      </c>
      <c r="ET26" s="11"/>
      <c r="EU26" s="11"/>
      <c r="EV26" s="11"/>
      <c r="EW26" s="11"/>
      <c r="EX26" s="11"/>
      <c r="EY26" s="15"/>
      <c r="EZ26" s="16"/>
      <c r="FA26" s="11"/>
    </row>
    <row r="27" spans="2:157" ht="16.8" customHeight="1" x14ac:dyDescent="0.3">
      <c r="F27" s="8" t="s">
        <v>55</v>
      </c>
      <c r="G27" s="11" t="s">
        <v>283</v>
      </c>
      <c r="H27" s="11" t="s">
        <v>702</v>
      </c>
      <c r="I27" s="11"/>
      <c r="J27" s="11"/>
      <c r="K27" s="11"/>
      <c r="L27" s="15"/>
      <c r="M27" s="16"/>
      <c r="P27" s="8" t="s">
        <v>55</v>
      </c>
      <c r="Q27" s="11"/>
      <c r="R27" s="11"/>
      <c r="S27" s="11"/>
      <c r="T27" s="11"/>
      <c r="U27" s="11"/>
      <c r="X27" s="8" t="s">
        <v>55</v>
      </c>
      <c r="Y27" s="11"/>
      <c r="Z27" s="11"/>
      <c r="AA27" s="11"/>
      <c r="AB27" s="11"/>
      <c r="AC27" s="11"/>
      <c r="AD27" s="11"/>
      <c r="AP27" s="8" t="s">
        <v>55</v>
      </c>
      <c r="AQ27" s="11"/>
      <c r="AR27" s="11"/>
      <c r="AS27" s="11"/>
      <c r="AT27" s="11"/>
      <c r="AU27" s="11"/>
      <c r="AV27" s="11"/>
      <c r="AW27" s="11"/>
      <c r="AZ27" s="8" t="s">
        <v>55</v>
      </c>
      <c r="BA27" s="11"/>
      <c r="BB27" s="11"/>
      <c r="BC27" s="11"/>
      <c r="BD27" s="11"/>
      <c r="BE27" s="11"/>
      <c r="BH27" s="8" t="s">
        <v>55</v>
      </c>
      <c r="BI27" s="11"/>
      <c r="BJ27" s="11"/>
      <c r="BK27" s="11"/>
      <c r="BL27" s="11"/>
      <c r="BM27" s="11"/>
      <c r="BN27" s="15"/>
      <c r="BO27" s="16"/>
      <c r="BR27" s="8" t="s">
        <v>55</v>
      </c>
      <c r="BS27" s="11"/>
      <c r="BT27" s="11"/>
      <c r="BU27" s="11"/>
      <c r="BV27" s="11"/>
      <c r="BW27" s="11"/>
      <c r="BX27" s="15"/>
      <c r="BY27" s="16"/>
      <c r="CB27" s="8" t="s">
        <v>55</v>
      </c>
      <c r="CC27" s="11"/>
      <c r="CD27" s="11"/>
      <c r="CE27" s="11"/>
      <c r="CF27" s="11"/>
      <c r="CG27" s="11"/>
      <c r="CH27" s="15"/>
      <c r="CI27" s="16"/>
      <c r="CL27" s="8" t="s">
        <v>55</v>
      </c>
      <c r="CM27" s="11"/>
      <c r="CN27" s="11"/>
      <c r="CO27" s="11"/>
      <c r="CP27" s="11"/>
      <c r="CQ27" s="11"/>
      <c r="CR27" s="15"/>
      <c r="CS27" s="16"/>
      <c r="CV27" s="8" t="s">
        <v>55</v>
      </c>
      <c r="CW27" s="11"/>
      <c r="CX27" s="11"/>
      <c r="CY27" s="11"/>
      <c r="CZ27" s="11"/>
      <c r="DA27" s="11"/>
      <c r="DB27" s="15"/>
      <c r="DC27" s="16"/>
      <c r="DD27" s="11"/>
      <c r="DG27" s="8" t="s">
        <v>55</v>
      </c>
      <c r="DH27" s="11"/>
      <c r="DI27" s="11"/>
      <c r="DJ27" s="11"/>
      <c r="DK27" s="11"/>
      <c r="DL27" s="11"/>
      <c r="DO27" s="8" t="s">
        <v>55</v>
      </c>
      <c r="DP27" s="11"/>
      <c r="DQ27" s="11"/>
      <c r="DR27" s="11"/>
      <c r="DS27" s="11"/>
      <c r="DT27" s="11"/>
      <c r="DU27" s="15"/>
      <c r="DV27" s="16"/>
      <c r="DY27" s="8" t="s">
        <v>55</v>
      </c>
      <c r="DZ27" s="11"/>
      <c r="EA27" s="11"/>
      <c r="EB27" s="11"/>
      <c r="EC27" s="11"/>
      <c r="ED27" s="11"/>
      <c r="EE27" s="15"/>
      <c r="EF27" s="16"/>
      <c r="EI27" s="8" t="s">
        <v>55</v>
      </c>
      <c r="EJ27" s="11"/>
      <c r="EK27" s="11"/>
      <c r="EL27" s="11"/>
      <c r="EM27" s="11"/>
      <c r="EN27" s="11"/>
      <c r="EO27" s="15"/>
      <c r="EP27" s="16"/>
      <c r="ES27" s="8" t="s">
        <v>55</v>
      </c>
      <c r="ET27" s="11"/>
      <c r="EU27" s="11"/>
      <c r="EV27" s="11"/>
      <c r="EW27" s="11"/>
      <c r="EX27" s="11"/>
      <c r="EY27" s="15"/>
      <c r="EZ27" s="16"/>
      <c r="FA27" s="11"/>
    </row>
    <row r="28" spans="2:157" ht="16.8" customHeight="1" x14ac:dyDescent="0.3">
      <c r="F28" s="8" t="s">
        <v>56</v>
      </c>
      <c r="G28" s="11" t="s">
        <v>291</v>
      </c>
      <c r="H28" s="11" t="s">
        <v>703</v>
      </c>
      <c r="I28" s="11"/>
      <c r="J28" s="11"/>
      <c r="K28" s="11"/>
      <c r="L28" s="15"/>
      <c r="M28" s="16"/>
      <c r="P28" s="8" t="s">
        <v>56</v>
      </c>
      <c r="Q28" s="11"/>
      <c r="R28" s="11"/>
      <c r="S28" s="11"/>
      <c r="T28" s="11"/>
      <c r="U28" s="11"/>
      <c r="X28" s="8" t="s">
        <v>56</v>
      </c>
      <c r="Y28" s="11"/>
      <c r="Z28" s="11"/>
      <c r="AA28" s="11"/>
      <c r="AB28" s="11"/>
      <c r="AC28" s="11"/>
      <c r="AD28" s="11"/>
      <c r="AP28" s="8" t="s">
        <v>56</v>
      </c>
      <c r="AQ28" s="11"/>
      <c r="AR28" s="11"/>
      <c r="AS28" s="11"/>
      <c r="AT28" s="11"/>
      <c r="AU28" s="11"/>
      <c r="AV28" s="11"/>
      <c r="AW28" s="11"/>
      <c r="AZ28" s="8" t="s">
        <v>56</v>
      </c>
      <c r="BA28" s="11"/>
      <c r="BB28" s="11"/>
      <c r="BC28" s="11"/>
      <c r="BD28" s="11"/>
      <c r="BE28" s="11"/>
      <c r="BH28" s="8" t="s">
        <v>56</v>
      </c>
      <c r="BI28" s="11"/>
      <c r="BJ28" s="11"/>
      <c r="BK28" s="11"/>
      <c r="BL28" s="11"/>
      <c r="BM28" s="11"/>
      <c r="BN28" s="15"/>
      <c r="BO28" s="16"/>
      <c r="BR28" s="8" t="s">
        <v>56</v>
      </c>
      <c r="BS28" s="11"/>
      <c r="BT28" s="11"/>
      <c r="BU28" s="11"/>
      <c r="BV28" s="11"/>
      <c r="BW28" s="11"/>
      <c r="BX28" s="15"/>
      <c r="BY28" s="16"/>
      <c r="CB28" s="8" t="s">
        <v>56</v>
      </c>
      <c r="CC28" s="11"/>
      <c r="CD28" s="11"/>
      <c r="CE28" s="11"/>
      <c r="CF28" s="11"/>
      <c r="CG28" s="11"/>
      <c r="CH28" s="15"/>
      <c r="CI28" s="16"/>
      <c r="CL28" s="8" t="s">
        <v>56</v>
      </c>
      <c r="CM28" s="11"/>
      <c r="CN28" s="11"/>
      <c r="CO28" s="11"/>
      <c r="CP28" s="11"/>
      <c r="CQ28" s="11"/>
      <c r="CR28" s="15"/>
      <c r="CS28" s="16"/>
      <c r="CV28" s="8" t="s">
        <v>56</v>
      </c>
      <c r="CW28" s="11"/>
      <c r="CX28" s="11"/>
      <c r="CY28" s="11"/>
      <c r="CZ28" s="11"/>
      <c r="DA28" s="11"/>
      <c r="DB28" s="15"/>
      <c r="DC28" s="16"/>
      <c r="DD28" s="11"/>
      <c r="DG28" s="8" t="s">
        <v>56</v>
      </c>
      <c r="DH28" s="11"/>
      <c r="DI28" s="11"/>
      <c r="DJ28" s="11"/>
      <c r="DK28" s="11"/>
      <c r="DL28" s="11"/>
      <c r="DO28" s="8" t="s">
        <v>56</v>
      </c>
      <c r="DP28" s="11"/>
      <c r="DQ28" s="11"/>
      <c r="DR28" s="11"/>
      <c r="DS28" s="11"/>
      <c r="DT28" s="11"/>
      <c r="DU28" s="15"/>
      <c r="DV28" s="16"/>
      <c r="DY28" s="8" t="s">
        <v>56</v>
      </c>
      <c r="DZ28" s="11"/>
      <c r="EA28" s="11"/>
      <c r="EB28" s="11"/>
      <c r="EC28" s="11"/>
      <c r="ED28" s="11"/>
      <c r="EE28" s="15"/>
      <c r="EF28" s="16"/>
      <c r="EI28" s="8" t="s">
        <v>56</v>
      </c>
      <c r="EJ28" s="11"/>
      <c r="EK28" s="11"/>
      <c r="EL28" s="11"/>
      <c r="EM28" s="11"/>
      <c r="EN28" s="11"/>
      <c r="EO28" s="15"/>
      <c r="EP28" s="16"/>
      <c r="ES28" s="8" t="s">
        <v>56</v>
      </c>
      <c r="ET28" s="11"/>
      <c r="EU28" s="11"/>
      <c r="EV28" s="11"/>
      <c r="EW28" s="11"/>
      <c r="EX28" s="11"/>
      <c r="EY28" s="15"/>
      <c r="EZ28" s="16"/>
      <c r="FA28" s="11"/>
    </row>
    <row r="29" spans="2:157" ht="16.8" customHeight="1" x14ac:dyDescent="0.3">
      <c r="F29" s="8" t="s">
        <v>57</v>
      </c>
      <c r="G29" s="11" t="s">
        <v>289</v>
      </c>
      <c r="H29" s="11" t="s">
        <v>704</v>
      </c>
      <c r="I29" s="11"/>
      <c r="J29" s="11"/>
      <c r="K29" s="11"/>
      <c r="L29" s="15"/>
      <c r="M29" s="16"/>
      <c r="P29" s="8" t="s">
        <v>57</v>
      </c>
      <c r="Q29" s="11"/>
      <c r="R29" s="11"/>
      <c r="S29" s="11"/>
      <c r="T29" s="11"/>
      <c r="U29" s="11"/>
      <c r="X29" s="8" t="s">
        <v>57</v>
      </c>
      <c r="Y29" s="11"/>
      <c r="Z29" s="11"/>
      <c r="AA29" s="11"/>
      <c r="AB29" s="11"/>
      <c r="AC29" s="11"/>
      <c r="AD29" s="11"/>
      <c r="AP29" s="8" t="s">
        <v>57</v>
      </c>
      <c r="AQ29" s="11"/>
      <c r="AR29" s="11"/>
      <c r="AS29" s="11"/>
      <c r="AT29" s="11"/>
      <c r="AU29" s="11"/>
      <c r="AV29" s="11"/>
      <c r="AW29" s="11"/>
      <c r="AZ29" s="8" t="s">
        <v>57</v>
      </c>
      <c r="BA29" s="11"/>
      <c r="BB29" s="11"/>
      <c r="BC29" s="11"/>
      <c r="BD29" s="11"/>
      <c r="BE29" s="11"/>
      <c r="BH29" s="8" t="s">
        <v>57</v>
      </c>
      <c r="BI29" s="11"/>
      <c r="BJ29" s="11"/>
      <c r="BK29" s="11"/>
      <c r="BL29" s="11"/>
      <c r="BM29" s="11"/>
      <c r="BN29" s="15"/>
      <c r="BO29" s="16"/>
      <c r="BR29" s="8" t="s">
        <v>57</v>
      </c>
      <c r="BS29" s="11"/>
      <c r="BT29" s="11"/>
      <c r="BU29" s="11"/>
      <c r="BV29" s="11"/>
      <c r="BW29" s="11"/>
      <c r="BX29" s="15"/>
      <c r="BY29" s="16"/>
      <c r="CB29" s="8" t="s">
        <v>57</v>
      </c>
      <c r="CC29" s="11"/>
      <c r="CD29" s="11"/>
      <c r="CE29" s="11"/>
      <c r="CF29" s="11"/>
      <c r="CG29" s="11"/>
      <c r="CH29" s="15"/>
      <c r="CI29" s="16"/>
      <c r="CL29" s="8" t="s">
        <v>57</v>
      </c>
      <c r="CM29" s="11"/>
      <c r="CN29" s="11"/>
      <c r="CO29" s="11"/>
      <c r="CP29" s="11"/>
      <c r="CQ29" s="11"/>
      <c r="CR29" s="15"/>
      <c r="CS29" s="16"/>
      <c r="CV29" s="8" t="s">
        <v>57</v>
      </c>
      <c r="CW29" s="11"/>
      <c r="CX29" s="11"/>
      <c r="CY29" s="11"/>
      <c r="CZ29" s="11"/>
      <c r="DA29" s="11"/>
      <c r="DB29" s="15"/>
      <c r="DC29" s="16"/>
      <c r="DD29" s="11"/>
      <c r="DG29" s="8" t="s">
        <v>57</v>
      </c>
      <c r="DH29" s="11"/>
      <c r="DI29" s="11"/>
      <c r="DJ29" s="11"/>
      <c r="DK29" s="11"/>
      <c r="DL29" s="11"/>
      <c r="DO29" s="8" t="s">
        <v>57</v>
      </c>
      <c r="DP29" s="11"/>
      <c r="DQ29" s="11"/>
      <c r="DR29" s="11"/>
      <c r="DS29" s="11"/>
      <c r="DT29" s="11"/>
      <c r="DU29" s="15"/>
      <c r="DV29" s="16"/>
      <c r="DY29" s="8" t="s">
        <v>57</v>
      </c>
      <c r="DZ29" s="11"/>
      <c r="EA29" s="11"/>
      <c r="EB29" s="11"/>
      <c r="EC29" s="11"/>
      <c r="ED29" s="11"/>
      <c r="EE29" s="15"/>
      <c r="EF29" s="16"/>
      <c r="EI29" s="8" t="s">
        <v>57</v>
      </c>
      <c r="EJ29" s="11"/>
      <c r="EK29" s="11"/>
      <c r="EL29" s="11"/>
      <c r="EM29" s="11"/>
      <c r="EN29" s="11"/>
      <c r="EO29" s="15"/>
      <c r="EP29" s="16"/>
      <c r="ES29" s="8" t="s">
        <v>57</v>
      </c>
      <c r="ET29" s="11"/>
      <c r="EU29" s="11"/>
      <c r="EV29" s="11"/>
      <c r="EW29" s="11"/>
      <c r="EX29" s="11"/>
      <c r="EY29" s="15"/>
      <c r="EZ29" s="16"/>
      <c r="FA29" s="11"/>
    </row>
    <row r="30" spans="2:157" ht="16.8" customHeight="1" x14ac:dyDescent="0.3">
      <c r="F30" s="8" t="s">
        <v>315</v>
      </c>
      <c r="G30" s="11" t="s">
        <v>288</v>
      </c>
      <c r="H30" s="11" t="s">
        <v>604</v>
      </c>
      <c r="I30" s="11"/>
      <c r="J30" s="11"/>
      <c r="K30" s="11"/>
      <c r="L30" s="15"/>
      <c r="M30" s="16"/>
      <c r="P30" s="8" t="s">
        <v>315</v>
      </c>
      <c r="Q30" s="11"/>
      <c r="R30" s="11"/>
      <c r="S30" s="11"/>
      <c r="T30" s="11"/>
      <c r="U30" s="11"/>
      <c r="X30" s="8" t="s">
        <v>315</v>
      </c>
      <c r="Y30" s="11"/>
      <c r="Z30" s="11"/>
      <c r="AA30" s="11"/>
      <c r="AB30" s="11"/>
      <c r="AC30" s="11"/>
      <c r="AD30" s="11"/>
      <c r="AP30" s="8" t="s">
        <v>315</v>
      </c>
      <c r="AQ30" s="11"/>
      <c r="AR30" s="11"/>
      <c r="AS30" s="11"/>
      <c r="AT30" s="11"/>
      <c r="AU30" s="11"/>
      <c r="AV30" s="11"/>
      <c r="AW30" s="11"/>
      <c r="AZ30" s="8" t="s">
        <v>315</v>
      </c>
      <c r="BA30" s="11"/>
      <c r="BB30" s="11"/>
      <c r="BC30" s="11"/>
      <c r="BD30" s="11"/>
      <c r="BE30" s="11"/>
      <c r="BH30" s="8" t="s">
        <v>315</v>
      </c>
      <c r="BI30" s="11"/>
      <c r="BJ30" s="11"/>
      <c r="BK30" s="11"/>
      <c r="BL30" s="11"/>
      <c r="BM30" s="11"/>
      <c r="BN30" s="15"/>
      <c r="BO30" s="16"/>
      <c r="BR30" s="8" t="s">
        <v>315</v>
      </c>
      <c r="BS30" s="11"/>
      <c r="BT30" s="11"/>
      <c r="BU30" s="11"/>
      <c r="BV30" s="11"/>
      <c r="BW30" s="11"/>
      <c r="BX30" s="15"/>
      <c r="BY30" s="16"/>
      <c r="CB30" s="8" t="s">
        <v>315</v>
      </c>
      <c r="CC30" s="11"/>
      <c r="CD30" s="11"/>
      <c r="CE30" s="11"/>
      <c r="CF30" s="11"/>
      <c r="CG30" s="11"/>
      <c r="CH30" s="15"/>
      <c r="CI30" s="16"/>
      <c r="CL30" s="8" t="s">
        <v>315</v>
      </c>
      <c r="CM30" s="11"/>
      <c r="CN30" s="11"/>
      <c r="CO30" s="11"/>
      <c r="CP30" s="11"/>
      <c r="CQ30" s="11"/>
      <c r="CR30" s="15"/>
      <c r="CS30" s="16"/>
      <c r="CV30" s="8" t="s">
        <v>315</v>
      </c>
      <c r="CW30" s="11"/>
      <c r="CX30" s="11"/>
      <c r="CY30" s="11"/>
      <c r="CZ30" s="11"/>
      <c r="DA30" s="11"/>
      <c r="DB30" s="15"/>
      <c r="DC30" s="16"/>
      <c r="DD30" s="11"/>
      <c r="DG30" s="8" t="s">
        <v>315</v>
      </c>
      <c r="DH30" s="11"/>
      <c r="DI30" s="11"/>
      <c r="DJ30" s="11"/>
      <c r="DK30" s="11"/>
      <c r="DL30" s="11"/>
      <c r="DO30" s="8" t="s">
        <v>315</v>
      </c>
      <c r="DP30" s="11"/>
      <c r="DQ30" s="11"/>
      <c r="DR30" s="11"/>
      <c r="DS30" s="11"/>
      <c r="DT30" s="11"/>
      <c r="DU30" s="15"/>
      <c r="DV30" s="16"/>
      <c r="DY30" s="8" t="s">
        <v>315</v>
      </c>
      <c r="DZ30" s="11"/>
      <c r="EA30" s="11"/>
      <c r="EB30" s="11"/>
      <c r="EC30" s="11"/>
      <c r="ED30" s="11"/>
      <c r="EE30" s="15"/>
      <c r="EF30" s="16"/>
      <c r="EI30" s="8" t="s">
        <v>315</v>
      </c>
      <c r="EJ30" s="11"/>
      <c r="EK30" s="11"/>
      <c r="EL30" s="11"/>
      <c r="EM30" s="11"/>
      <c r="EN30" s="11"/>
      <c r="EO30" s="15"/>
      <c r="EP30" s="16"/>
      <c r="ES30" s="8" t="s">
        <v>315</v>
      </c>
      <c r="ET30" s="11"/>
      <c r="EU30" s="11"/>
      <c r="EV30" s="11"/>
      <c r="EW30" s="11"/>
      <c r="EX30" s="11"/>
      <c r="EY30" s="15"/>
      <c r="EZ30" s="16"/>
      <c r="FA30" s="11"/>
    </row>
    <row r="31" spans="2:157" ht="16.8" customHeight="1" x14ac:dyDescent="0.3">
      <c r="F31" s="8" t="s">
        <v>316</v>
      </c>
      <c r="G31" s="11" t="s">
        <v>328</v>
      </c>
      <c r="H31" s="11" t="s">
        <v>705</v>
      </c>
      <c r="I31" s="11"/>
      <c r="J31" s="11"/>
      <c r="K31" s="11"/>
      <c r="L31" s="15"/>
      <c r="M31" s="16"/>
      <c r="P31" s="8" t="s">
        <v>316</v>
      </c>
      <c r="Q31" s="11"/>
      <c r="R31" s="11"/>
      <c r="S31" s="11"/>
      <c r="T31" s="11"/>
      <c r="U31" s="11"/>
      <c r="X31" s="8" t="s">
        <v>316</v>
      </c>
      <c r="Y31" s="11"/>
      <c r="Z31" s="11"/>
      <c r="AA31" s="11"/>
      <c r="AB31" s="11"/>
      <c r="AC31" s="11"/>
      <c r="AD31" s="11"/>
      <c r="AP31" s="8" t="s">
        <v>316</v>
      </c>
      <c r="AQ31" s="11"/>
      <c r="AR31" s="11"/>
      <c r="AS31" s="11"/>
      <c r="AT31" s="11"/>
      <c r="AU31" s="11"/>
      <c r="AV31" s="11"/>
      <c r="AW31" s="11"/>
      <c r="AZ31" s="8" t="s">
        <v>316</v>
      </c>
      <c r="BA31" s="11"/>
      <c r="BB31" s="11"/>
      <c r="BC31" s="11"/>
      <c r="BD31" s="11"/>
      <c r="BE31" s="11"/>
      <c r="BH31" s="8" t="s">
        <v>316</v>
      </c>
      <c r="BI31" s="11"/>
      <c r="BJ31" s="11"/>
      <c r="BK31" s="11"/>
      <c r="BL31" s="11"/>
      <c r="BM31" s="11"/>
      <c r="BN31" s="15"/>
      <c r="BO31" s="16"/>
      <c r="BR31" s="8" t="s">
        <v>316</v>
      </c>
      <c r="BS31" s="11"/>
      <c r="BT31" s="11"/>
      <c r="BU31" s="11"/>
      <c r="BV31" s="11"/>
      <c r="BW31" s="11"/>
      <c r="BX31" s="15"/>
      <c r="BY31" s="16"/>
      <c r="CB31" s="8" t="s">
        <v>316</v>
      </c>
      <c r="CC31" s="11"/>
      <c r="CD31" s="11"/>
      <c r="CE31" s="11"/>
      <c r="CF31" s="11"/>
      <c r="CG31" s="11"/>
      <c r="CH31" s="15"/>
      <c r="CI31" s="16"/>
      <c r="CL31" s="8" t="s">
        <v>316</v>
      </c>
      <c r="CM31" s="11"/>
      <c r="CN31" s="11"/>
      <c r="CO31" s="11"/>
      <c r="CP31" s="11"/>
      <c r="CQ31" s="11"/>
      <c r="CR31" s="15"/>
      <c r="CS31" s="16"/>
      <c r="CV31" s="8" t="s">
        <v>316</v>
      </c>
      <c r="CW31" s="11"/>
      <c r="CX31" s="11"/>
      <c r="CY31" s="11"/>
      <c r="CZ31" s="11"/>
      <c r="DA31" s="11"/>
      <c r="DB31" s="15"/>
      <c r="DC31" s="16"/>
      <c r="DD31" s="11"/>
      <c r="DG31" s="8" t="s">
        <v>316</v>
      </c>
      <c r="DH31" s="11"/>
      <c r="DI31" s="11"/>
      <c r="DJ31" s="11"/>
      <c r="DK31" s="11"/>
      <c r="DL31" s="11"/>
      <c r="DO31" s="8" t="s">
        <v>316</v>
      </c>
      <c r="DP31" s="11"/>
      <c r="DQ31" s="11"/>
      <c r="DR31" s="11"/>
      <c r="DS31" s="11"/>
      <c r="DT31" s="11"/>
      <c r="DU31" s="15"/>
      <c r="DV31" s="16"/>
      <c r="DY31" s="8" t="s">
        <v>316</v>
      </c>
      <c r="DZ31" s="11"/>
      <c r="EA31" s="11"/>
      <c r="EB31" s="11"/>
      <c r="EC31" s="11"/>
      <c r="ED31" s="11"/>
      <c r="EE31" s="15"/>
      <c r="EF31" s="16"/>
      <c r="EI31" s="8" t="s">
        <v>316</v>
      </c>
      <c r="EJ31" s="11"/>
      <c r="EK31" s="11"/>
      <c r="EL31" s="11"/>
      <c r="EM31" s="11"/>
      <c r="EN31" s="11"/>
      <c r="EO31" s="15"/>
      <c r="EP31" s="16"/>
      <c r="ES31" s="8" t="s">
        <v>316</v>
      </c>
      <c r="ET31" s="11"/>
      <c r="EU31" s="11"/>
      <c r="EV31" s="11"/>
      <c r="EW31" s="11"/>
      <c r="EX31" s="11"/>
      <c r="EY31" s="15"/>
      <c r="EZ31" s="16"/>
      <c r="FA31" s="11"/>
    </row>
    <row r="32" spans="2:157" ht="16.8" customHeight="1" x14ac:dyDescent="0.3">
      <c r="F32" s="8" t="s">
        <v>317</v>
      </c>
      <c r="G32" s="11" t="s">
        <v>227</v>
      </c>
      <c r="H32" s="11" t="s">
        <v>706</v>
      </c>
      <c r="I32" s="11"/>
      <c r="J32" s="11"/>
      <c r="K32" s="11"/>
      <c r="L32" s="15"/>
      <c r="M32" s="16"/>
      <c r="P32" s="8" t="s">
        <v>317</v>
      </c>
      <c r="Q32" s="11"/>
      <c r="R32" s="11"/>
      <c r="S32" s="11"/>
      <c r="T32" s="11"/>
      <c r="U32" s="11"/>
      <c r="X32" s="8" t="s">
        <v>317</v>
      </c>
      <c r="Y32" s="11"/>
      <c r="Z32" s="11"/>
      <c r="AA32" s="11"/>
      <c r="AB32" s="11"/>
      <c r="AC32" s="11"/>
      <c r="AD32" s="11"/>
      <c r="AP32" s="8" t="s">
        <v>317</v>
      </c>
      <c r="AQ32" s="11"/>
      <c r="AR32" s="11"/>
      <c r="AS32" s="11"/>
      <c r="AT32" s="11"/>
      <c r="AU32" s="11"/>
      <c r="AV32" s="11"/>
      <c r="AW32" s="11"/>
      <c r="AZ32" s="8" t="s">
        <v>317</v>
      </c>
      <c r="BA32" s="11"/>
      <c r="BB32" s="11"/>
      <c r="BC32" s="11"/>
      <c r="BD32" s="11"/>
      <c r="BE32" s="11"/>
      <c r="BH32" s="8" t="s">
        <v>317</v>
      </c>
      <c r="BI32" s="11"/>
      <c r="BJ32" s="11"/>
      <c r="BK32" s="11"/>
      <c r="BL32" s="11"/>
      <c r="BM32" s="11"/>
      <c r="BN32" s="15"/>
      <c r="BO32" s="16"/>
      <c r="BR32" s="8" t="s">
        <v>317</v>
      </c>
      <c r="BS32" s="11"/>
      <c r="BT32" s="11"/>
      <c r="BU32" s="11"/>
      <c r="BV32" s="11"/>
      <c r="BW32" s="11"/>
      <c r="BX32" s="15"/>
      <c r="BY32" s="16"/>
      <c r="CB32" s="8" t="s">
        <v>317</v>
      </c>
      <c r="CC32" s="11"/>
      <c r="CD32" s="11"/>
      <c r="CE32" s="11"/>
      <c r="CF32" s="11"/>
      <c r="CG32" s="11"/>
      <c r="CH32" s="15"/>
      <c r="CI32" s="16"/>
      <c r="CL32" s="8" t="s">
        <v>317</v>
      </c>
      <c r="CM32" s="11"/>
      <c r="CN32" s="11"/>
      <c r="CO32" s="11"/>
      <c r="CP32" s="11"/>
      <c r="CQ32" s="11"/>
      <c r="CR32" s="15"/>
      <c r="CS32" s="16"/>
      <c r="CV32" s="8" t="s">
        <v>317</v>
      </c>
      <c r="CW32" s="11"/>
      <c r="CX32" s="11"/>
      <c r="CY32" s="11"/>
      <c r="CZ32" s="11"/>
      <c r="DA32" s="11"/>
      <c r="DB32" s="15"/>
      <c r="DC32" s="16"/>
      <c r="DD32" s="11"/>
      <c r="DG32" s="8" t="s">
        <v>317</v>
      </c>
      <c r="DH32" s="11"/>
      <c r="DI32" s="11"/>
      <c r="DJ32" s="11"/>
      <c r="DK32" s="11"/>
      <c r="DL32" s="11"/>
      <c r="DO32" s="8" t="s">
        <v>317</v>
      </c>
      <c r="DP32" s="11"/>
      <c r="DQ32" s="11"/>
      <c r="DR32" s="11"/>
      <c r="DS32" s="11"/>
      <c r="DT32" s="11"/>
      <c r="DU32" s="15"/>
      <c r="DV32" s="16"/>
      <c r="DY32" s="8" t="s">
        <v>317</v>
      </c>
      <c r="DZ32" s="11"/>
      <c r="EA32" s="11"/>
      <c r="EB32" s="11"/>
      <c r="EC32" s="11"/>
      <c r="ED32" s="11"/>
      <c r="EE32" s="15"/>
      <c r="EF32" s="16"/>
      <c r="EI32" s="8" t="s">
        <v>317</v>
      </c>
      <c r="EJ32" s="11"/>
      <c r="EK32" s="11"/>
      <c r="EL32" s="11"/>
      <c r="EM32" s="11"/>
      <c r="EN32" s="11"/>
      <c r="EO32" s="15"/>
      <c r="EP32" s="16"/>
      <c r="ES32" s="8" t="s">
        <v>317</v>
      </c>
      <c r="ET32" s="11"/>
      <c r="EU32" s="11"/>
      <c r="EV32" s="11"/>
      <c r="EW32" s="11"/>
      <c r="EX32" s="11"/>
      <c r="EY32" s="15"/>
      <c r="EZ32" s="16"/>
      <c r="FA32" s="11"/>
    </row>
    <row r="33" spans="6:157" ht="16.8" customHeight="1" x14ac:dyDescent="0.3">
      <c r="F33" s="8" t="s">
        <v>318</v>
      </c>
      <c r="G33" s="11" t="s">
        <v>297</v>
      </c>
      <c r="H33" s="11" t="s">
        <v>707</v>
      </c>
      <c r="I33" s="11"/>
      <c r="J33" s="11"/>
      <c r="K33" s="11"/>
      <c r="L33" s="15"/>
      <c r="M33" s="16"/>
      <c r="P33" s="8" t="s">
        <v>318</v>
      </c>
      <c r="Q33" s="11"/>
      <c r="R33" s="11"/>
      <c r="S33" s="11"/>
      <c r="T33" s="11"/>
      <c r="U33" s="11"/>
      <c r="X33" s="8" t="s">
        <v>318</v>
      </c>
      <c r="Y33" s="11"/>
      <c r="Z33" s="11"/>
      <c r="AA33" s="11"/>
      <c r="AB33" s="11"/>
      <c r="AC33" s="11"/>
      <c r="AD33" s="11"/>
      <c r="AP33" s="8" t="s">
        <v>318</v>
      </c>
      <c r="AQ33" s="11"/>
      <c r="AR33" s="11"/>
      <c r="AS33" s="11"/>
      <c r="AT33" s="11"/>
      <c r="AU33" s="11"/>
      <c r="AV33" s="11"/>
      <c r="AW33" s="11"/>
      <c r="AZ33" s="8" t="s">
        <v>318</v>
      </c>
      <c r="BA33" s="11"/>
      <c r="BB33" s="11"/>
      <c r="BC33" s="11"/>
      <c r="BD33" s="11"/>
      <c r="BE33" s="11"/>
      <c r="BH33" s="8" t="s">
        <v>318</v>
      </c>
      <c r="BI33" s="11"/>
      <c r="BJ33" s="11"/>
      <c r="BK33" s="11"/>
      <c r="BL33" s="11"/>
      <c r="BM33" s="11"/>
      <c r="BN33" s="15"/>
      <c r="BO33" s="16"/>
      <c r="BR33" s="8" t="s">
        <v>318</v>
      </c>
      <c r="BS33" s="11"/>
      <c r="BT33" s="11"/>
      <c r="BU33" s="11"/>
      <c r="BV33" s="11"/>
      <c r="BW33" s="11"/>
      <c r="BX33" s="15"/>
      <c r="BY33" s="16"/>
      <c r="CB33" s="8" t="s">
        <v>318</v>
      </c>
      <c r="CC33" s="11"/>
      <c r="CD33" s="11"/>
      <c r="CE33" s="11"/>
      <c r="CF33" s="11"/>
      <c r="CG33" s="11"/>
      <c r="CH33" s="15"/>
      <c r="CI33" s="16"/>
      <c r="CL33" s="8" t="s">
        <v>318</v>
      </c>
      <c r="CM33" s="11"/>
      <c r="CN33" s="11"/>
      <c r="CO33" s="11"/>
      <c r="CP33" s="11"/>
      <c r="CQ33" s="11"/>
      <c r="CR33" s="15"/>
      <c r="CS33" s="16"/>
      <c r="CV33" s="8" t="s">
        <v>318</v>
      </c>
      <c r="CW33" s="11"/>
      <c r="CX33" s="11"/>
      <c r="CY33" s="11"/>
      <c r="CZ33" s="11"/>
      <c r="DA33" s="11"/>
      <c r="DB33" s="15"/>
      <c r="DC33" s="16"/>
      <c r="DD33" s="11"/>
      <c r="DG33" s="8" t="s">
        <v>318</v>
      </c>
      <c r="DH33" s="11"/>
      <c r="DI33" s="11"/>
      <c r="DJ33" s="11"/>
      <c r="DK33" s="11"/>
      <c r="DL33" s="11"/>
      <c r="DO33" s="8" t="s">
        <v>318</v>
      </c>
      <c r="DP33" s="11"/>
      <c r="DQ33" s="11"/>
      <c r="DR33" s="11"/>
      <c r="DS33" s="11"/>
      <c r="DT33" s="11"/>
      <c r="DU33" s="15"/>
      <c r="DV33" s="16"/>
      <c r="DY33" s="8" t="s">
        <v>318</v>
      </c>
      <c r="DZ33" s="11"/>
      <c r="EA33" s="11"/>
      <c r="EB33" s="11"/>
      <c r="EC33" s="11"/>
      <c r="ED33" s="11"/>
      <c r="EE33" s="15"/>
      <c r="EF33" s="16"/>
      <c r="EI33" s="8" t="s">
        <v>318</v>
      </c>
      <c r="EJ33" s="11"/>
      <c r="EK33" s="11"/>
      <c r="EL33" s="11"/>
      <c r="EM33" s="11"/>
      <c r="EN33" s="11"/>
      <c r="EO33" s="15"/>
      <c r="EP33" s="16"/>
      <c r="ES33" s="8" t="s">
        <v>318</v>
      </c>
      <c r="ET33" s="11"/>
      <c r="EU33" s="11"/>
      <c r="EV33" s="11"/>
      <c r="EW33" s="11"/>
      <c r="EX33" s="11"/>
      <c r="EY33" s="15"/>
      <c r="EZ33" s="16"/>
      <c r="FA33" s="11"/>
    </row>
    <row r="34" spans="6:157" ht="16.8" customHeight="1" x14ac:dyDescent="0.3">
      <c r="F34" s="8" t="s">
        <v>319</v>
      </c>
      <c r="G34" s="11" t="s">
        <v>204</v>
      </c>
      <c r="H34" s="11" t="s">
        <v>708</v>
      </c>
      <c r="I34" s="11"/>
      <c r="J34" s="11"/>
      <c r="K34" s="11"/>
      <c r="L34" s="15"/>
      <c r="M34" s="16"/>
      <c r="P34" s="8" t="s">
        <v>319</v>
      </c>
      <c r="Q34" s="11"/>
      <c r="R34" s="11"/>
      <c r="S34" s="11"/>
      <c r="T34" s="11"/>
      <c r="U34" s="11"/>
      <c r="X34" s="8" t="s">
        <v>319</v>
      </c>
      <c r="Y34" s="11"/>
      <c r="Z34" s="11"/>
      <c r="AA34" s="11"/>
      <c r="AB34" s="11"/>
      <c r="AC34" s="11"/>
      <c r="AD34" s="11"/>
      <c r="AP34" s="8" t="s">
        <v>319</v>
      </c>
      <c r="AQ34" s="11"/>
      <c r="AR34" s="11"/>
      <c r="AS34" s="11"/>
      <c r="AT34" s="11"/>
      <c r="AU34" s="11"/>
      <c r="AV34" s="11"/>
      <c r="AW34" s="11"/>
      <c r="AZ34" s="8" t="s">
        <v>319</v>
      </c>
      <c r="BA34" s="11"/>
      <c r="BB34" s="11"/>
      <c r="BC34" s="11"/>
      <c r="BD34" s="11"/>
      <c r="BE34" s="11"/>
      <c r="BH34" s="8" t="s">
        <v>319</v>
      </c>
      <c r="BI34" s="11"/>
      <c r="BJ34" s="11"/>
      <c r="BK34" s="11"/>
      <c r="BL34" s="11"/>
      <c r="BM34" s="11"/>
      <c r="BN34" s="15"/>
      <c r="BO34" s="16"/>
      <c r="BR34" s="8" t="s">
        <v>319</v>
      </c>
      <c r="BS34" s="11"/>
      <c r="BT34" s="11"/>
      <c r="BU34" s="11"/>
      <c r="BV34" s="11"/>
      <c r="BW34" s="11"/>
      <c r="BX34" s="15"/>
      <c r="BY34" s="16"/>
      <c r="CB34" s="8" t="s">
        <v>319</v>
      </c>
      <c r="CC34" s="11"/>
      <c r="CD34" s="11"/>
      <c r="CE34" s="11"/>
      <c r="CF34" s="11"/>
      <c r="CG34" s="11"/>
      <c r="CH34" s="15"/>
      <c r="CI34" s="16"/>
      <c r="CL34" s="8" t="s">
        <v>319</v>
      </c>
      <c r="CM34" s="11"/>
      <c r="CN34" s="11"/>
      <c r="CO34" s="11"/>
      <c r="CP34" s="11"/>
      <c r="CQ34" s="11"/>
      <c r="CR34" s="15"/>
      <c r="CS34" s="16"/>
      <c r="CV34" s="8" t="s">
        <v>319</v>
      </c>
      <c r="CW34" s="11"/>
      <c r="CX34" s="11"/>
      <c r="CY34" s="11"/>
      <c r="CZ34" s="11"/>
      <c r="DA34" s="11"/>
      <c r="DB34" s="15"/>
      <c r="DC34" s="16"/>
      <c r="DD34" s="11"/>
      <c r="DG34" s="8" t="s">
        <v>319</v>
      </c>
      <c r="DH34" s="11"/>
      <c r="DI34" s="11"/>
      <c r="DJ34" s="11"/>
      <c r="DK34" s="11"/>
      <c r="DL34" s="11"/>
      <c r="DO34" s="8" t="s">
        <v>319</v>
      </c>
      <c r="DP34" s="11"/>
      <c r="DQ34" s="11"/>
      <c r="DR34" s="11"/>
      <c r="DS34" s="11"/>
      <c r="DT34" s="11"/>
      <c r="DU34" s="15"/>
      <c r="DV34" s="16"/>
      <c r="DY34" s="8" t="s">
        <v>319</v>
      </c>
      <c r="DZ34" s="11"/>
      <c r="EA34" s="11"/>
      <c r="EB34" s="11"/>
      <c r="EC34" s="11"/>
      <c r="ED34" s="11"/>
      <c r="EE34" s="15"/>
      <c r="EF34" s="16"/>
      <c r="EI34" s="8" t="s">
        <v>319</v>
      </c>
      <c r="EJ34" s="11"/>
      <c r="EK34" s="11"/>
      <c r="EL34" s="11"/>
      <c r="EM34" s="11"/>
      <c r="EN34" s="11"/>
      <c r="EO34" s="15"/>
      <c r="EP34" s="16"/>
      <c r="ES34" s="8" t="s">
        <v>319</v>
      </c>
      <c r="ET34" s="11"/>
      <c r="EU34" s="11"/>
      <c r="EV34" s="11"/>
      <c r="EW34" s="11"/>
      <c r="EX34" s="11"/>
      <c r="EY34" s="15"/>
      <c r="EZ34" s="16"/>
      <c r="FA34" s="11"/>
    </row>
    <row r="35" spans="6:157" ht="16.8" customHeight="1" thickBot="1" x14ac:dyDescent="0.35">
      <c r="F35" s="8" t="s">
        <v>320</v>
      </c>
      <c r="G35" s="11" t="s">
        <v>513</v>
      </c>
      <c r="H35" s="11" t="s">
        <v>709</v>
      </c>
      <c r="I35" s="11"/>
      <c r="J35" s="11"/>
      <c r="K35" s="11"/>
      <c r="L35" s="15"/>
      <c r="M35" s="16"/>
      <c r="P35" s="8" t="s">
        <v>320</v>
      </c>
      <c r="Q35" s="11"/>
      <c r="R35" s="11"/>
      <c r="S35" s="11"/>
      <c r="T35" s="11"/>
      <c r="U35" s="11"/>
      <c r="X35" s="8" t="s">
        <v>320</v>
      </c>
      <c r="Y35" s="11"/>
      <c r="Z35" s="11"/>
      <c r="AA35" s="11"/>
      <c r="AB35" s="11"/>
      <c r="AC35" s="11"/>
      <c r="AD35" s="11"/>
      <c r="AP35" s="8" t="s">
        <v>320</v>
      </c>
      <c r="AQ35" s="11"/>
      <c r="AR35" s="11"/>
      <c r="AS35" s="11"/>
      <c r="AT35" s="11"/>
      <c r="AU35" s="11"/>
      <c r="AV35" s="11"/>
      <c r="AW35" s="11"/>
      <c r="AZ35" s="9" t="s">
        <v>320</v>
      </c>
      <c r="BA35" s="12"/>
      <c r="BB35" s="12"/>
      <c r="BC35" s="12"/>
      <c r="BD35" s="12"/>
      <c r="BE35" s="12"/>
      <c r="BH35" s="9" t="s">
        <v>320</v>
      </c>
      <c r="BI35" s="12"/>
      <c r="BJ35" s="12"/>
      <c r="BK35" s="12"/>
      <c r="BL35" s="12"/>
      <c r="BM35" s="12"/>
      <c r="BN35" s="17"/>
      <c r="BO35" s="18"/>
      <c r="BR35" s="9" t="s">
        <v>320</v>
      </c>
      <c r="BS35" s="12"/>
      <c r="BT35" s="12"/>
      <c r="BU35" s="12"/>
      <c r="BV35" s="12"/>
      <c r="BW35" s="12"/>
      <c r="BX35" s="17"/>
      <c r="BY35" s="18"/>
      <c r="CB35" s="9" t="s">
        <v>320</v>
      </c>
      <c r="CC35" s="12"/>
      <c r="CD35" s="12"/>
      <c r="CE35" s="12"/>
      <c r="CF35" s="12"/>
      <c r="CG35" s="12"/>
      <c r="CH35" s="17"/>
      <c r="CI35" s="18"/>
      <c r="CL35" s="9" t="s">
        <v>320</v>
      </c>
      <c r="CM35" s="12"/>
      <c r="CN35" s="12"/>
      <c r="CO35" s="12"/>
      <c r="CP35" s="12"/>
      <c r="CQ35" s="12"/>
      <c r="CR35" s="17"/>
      <c r="CS35" s="18"/>
      <c r="CV35" s="9" t="s">
        <v>320</v>
      </c>
      <c r="CW35" s="12"/>
      <c r="CX35" s="12"/>
      <c r="CY35" s="12"/>
      <c r="CZ35" s="12"/>
      <c r="DA35" s="12"/>
      <c r="DB35" s="17"/>
      <c r="DC35" s="18"/>
      <c r="DD35" s="12"/>
      <c r="DG35" s="9" t="s">
        <v>320</v>
      </c>
      <c r="DH35" s="12"/>
      <c r="DI35" s="12"/>
      <c r="DJ35" s="12"/>
      <c r="DK35" s="12"/>
      <c r="DL35" s="12"/>
      <c r="DO35" s="9" t="s">
        <v>320</v>
      </c>
      <c r="DP35" s="12"/>
      <c r="DQ35" s="12"/>
      <c r="DR35" s="12"/>
      <c r="DS35" s="12"/>
      <c r="DT35" s="12"/>
      <c r="DU35" s="17"/>
      <c r="DV35" s="18"/>
      <c r="DY35" s="9" t="s">
        <v>320</v>
      </c>
      <c r="DZ35" s="12"/>
      <c r="EA35" s="12"/>
      <c r="EB35" s="12"/>
      <c r="EC35" s="12"/>
      <c r="ED35" s="12"/>
      <c r="EE35" s="17"/>
      <c r="EF35" s="18"/>
      <c r="EI35" s="9" t="s">
        <v>320</v>
      </c>
      <c r="EJ35" s="12"/>
      <c r="EK35" s="12"/>
      <c r="EL35" s="12"/>
      <c r="EM35" s="12"/>
      <c r="EN35" s="12"/>
      <c r="EO35" s="17"/>
      <c r="EP35" s="18"/>
      <c r="ES35" s="9" t="s">
        <v>320</v>
      </c>
      <c r="ET35" s="12"/>
      <c r="EU35" s="12"/>
      <c r="EV35" s="12"/>
      <c r="EW35" s="12"/>
      <c r="EX35" s="12"/>
      <c r="EY35" s="17"/>
      <c r="EZ35" s="18"/>
      <c r="FA35" s="12"/>
    </row>
    <row r="36" spans="6:157" ht="16.8" customHeight="1" thickBot="1" x14ac:dyDescent="0.35">
      <c r="F36" s="9" t="s">
        <v>685</v>
      </c>
      <c r="G36" s="12" t="s">
        <v>200</v>
      </c>
      <c r="H36" s="12" t="s">
        <v>710</v>
      </c>
      <c r="I36" s="12"/>
      <c r="J36" s="12"/>
      <c r="K36" s="12"/>
      <c r="L36" s="17"/>
      <c r="M36" s="18"/>
      <c r="P36" s="9" t="s">
        <v>685</v>
      </c>
      <c r="Q36" s="12"/>
      <c r="R36" s="12"/>
      <c r="S36" s="12"/>
      <c r="T36" s="12"/>
      <c r="U36" s="12"/>
      <c r="X36" s="9" t="s">
        <v>685</v>
      </c>
      <c r="Y36" s="12"/>
      <c r="Z36" s="12"/>
      <c r="AA36" s="12"/>
      <c r="AB36" s="12"/>
      <c r="AC36" s="12"/>
      <c r="AD36" s="12"/>
      <c r="AP36" s="158" t="s">
        <v>671</v>
      </c>
      <c r="AQ36" s="12"/>
      <c r="AR36" s="12"/>
      <c r="AS36" s="12"/>
      <c r="AT36" s="12"/>
      <c r="AU36" s="12"/>
      <c r="AV36" s="12"/>
      <c r="AW36" s="12"/>
    </row>
  </sheetData>
  <mergeCells count="76">
    <mergeCell ref="CV2:DD2"/>
    <mergeCell ref="B2:C2"/>
    <mergeCell ref="F2:M2"/>
    <mergeCell ref="P2:U2"/>
    <mergeCell ref="X2:AD2"/>
    <mergeCell ref="AG2:AM2"/>
    <mergeCell ref="AP2:AW2"/>
    <mergeCell ref="AZ2:BE2"/>
    <mergeCell ref="BH2:BO2"/>
    <mergeCell ref="BR2:BY2"/>
    <mergeCell ref="CB2:CI2"/>
    <mergeCell ref="CL2:CS2"/>
    <mergeCell ref="B3:C3"/>
    <mergeCell ref="F3:M3"/>
    <mergeCell ref="P3:U3"/>
    <mergeCell ref="X3:AD3"/>
    <mergeCell ref="AG3:AM3"/>
    <mergeCell ref="DG2:DL2"/>
    <mergeCell ref="DO2:DV2"/>
    <mergeCell ref="DY2:EF2"/>
    <mergeCell ref="EI2:EP2"/>
    <mergeCell ref="ES2:FA2"/>
    <mergeCell ref="EI3:EP3"/>
    <mergeCell ref="ES3:FA3"/>
    <mergeCell ref="AP3:AW3"/>
    <mergeCell ref="AZ3:BE3"/>
    <mergeCell ref="BH3:BO3"/>
    <mergeCell ref="BR3:BY3"/>
    <mergeCell ref="CB3:CI3"/>
    <mergeCell ref="CL3:CS3"/>
    <mergeCell ref="AZ4:BE4"/>
    <mergeCell ref="CV3:DD3"/>
    <mergeCell ref="DG3:DL3"/>
    <mergeCell ref="DO3:DV3"/>
    <mergeCell ref="DY3:EF3"/>
    <mergeCell ref="DO4:DV4"/>
    <mergeCell ref="DY4:EF4"/>
    <mergeCell ref="F4:M4"/>
    <mergeCell ref="P4:U4"/>
    <mergeCell ref="X4:AD4"/>
    <mergeCell ref="AG4:AM4"/>
    <mergeCell ref="AP4:AW4"/>
    <mergeCell ref="EI4:EP4"/>
    <mergeCell ref="ES4:FA4"/>
    <mergeCell ref="L5:M5"/>
    <mergeCell ref="BN5:BO5"/>
    <mergeCell ref="BX5:BY5"/>
    <mergeCell ref="CH5:CI5"/>
    <mergeCell ref="CR5:CS5"/>
    <mergeCell ref="DB5:DC5"/>
    <mergeCell ref="BH4:BO4"/>
    <mergeCell ref="BR4:BY4"/>
    <mergeCell ref="CB4:CI4"/>
    <mergeCell ref="CL4:CS4"/>
    <mergeCell ref="CV4:DD4"/>
    <mergeCell ref="DG4:DL4"/>
    <mergeCell ref="EY5:EZ5"/>
    <mergeCell ref="BC5:BE5"/>
    <mergeCell ref="I5:K5"/>
    <mergeCell ref="S5:U5"/>
    <mergeCell ref="AA5:AC5"/>
    <mergeCell ref="AJ5:AL5"/>
    <mergeCell ref="AS5:AU5"/>
    <mergeCell ref="DR5:DT5"/>
    <mergeCell ref="EB5:ED5"/>
    <mergeCell ref="EL5:EN5"/>
    <mergeCell ref="EV5:EX5"/>
    <mergeCell ref="BK5:BM5"/>
    <mergeCell ref="BU5:BW5"/>
    <mergeCell ref="CE5:CG5"/>
    <mergeCell ref="CO5:CQ5"/>
    <mergeCell ref="CY5:DA5"/>
    <mergeCell ref="DJ5:DL5"/>
    <mergeCell ref="DU5:DV5"/>
    <mergeCell ref="EE5:EF5"/>
    <mergeCell ref="EO5:EP5"/>
  </mergeCells>
  <conditionalFormatting sqref="AG6:AG15 AZ6:AZ35 BH6:BH35 BR6:BR35 CB6:CB35 CL6:CL35 CV6:CV35 DG6:DG35 DO6:DO35 DY6:DY35 EI6:EI35 ES6:ES35 F6:F36 P6:P36 X6:X36 AP6:AP36">
    <cfRule type="cellIs" dxfId="128" priority="500" operator="equal">
      <formula>"DNF"</formula>
    </cfRule>
    <cfRule type="cellIs" dxfId="127" priority="520" operator="equal">
      <formula>"INC"</formula>
    </cfRule>
    <cfRule type="cellIs" dxfId="126" priority="532" operator="equal">
      <formula>"DNS"</formula>
    </cfRule>
    <cfRule type="cellIs" dxfId="125" priority="544" operator="equal">
      <formula>"NC"</formula>
    </cfRule>
    <cfRule type="cellIs" dxfId="124" priority="545" operator="equal">
      <formula>"WDN"</formula>
    </cfRule>
    <cfRule type="cellIs" dxfId="123" priority="546" operator="equal">
      <formula>"DSQ"</formula>
    </cfRule>
    <cfRule type="cellIs" dxfId="122" priority="547" operator="equal">
      <formula>"EXC"</formula>
    </cfRule>
  </conditionalFormatting>
  <conditionalFormatting sqref="AH6:AH15 BA6:BA35 BI6:BI35 BS6:BS35 CC6:CC35 CM6:CM35 CW6:CW35 DH6:DH35 DP6:DP35 DZ6:DZ35 EJ6:EJ35 ET6:ET35 G6:G36 Q6:Q36 Y6:Y36 AQ6:AQ36">
    <cfRule type="cellIs" dxfId="121" priority="3" operator="equal">
      <formula>"Pato O'Ward"</formula>
    </cfRule>
    <cfRule type="cellIs" dxfId="120" priority="4" operator="equal">
      <formula>"Lando Norris"</formula>
    </cfRule>
    <cfRule type="cellIs" dxfId="119" priority="5" operator="equal">
      <formula>"Oscar Piastri"</formula>
    </cfRule>
    <cfRule type="cellIs" dxfId="118" priority="6" operator="equal">
      <formula>"David Malukas"</formula>
    </cfRule>
    <cfRule type="cellIs" dxfId="117" priority="7" operator="equal">
      <formula>"Alex Dunne"</formula>
    </cfRule>
    <cfRule type="cellIs" dxfId="116" priority="8" operator="equal">
      <formula>"Rinus VeeKay"</formula>
    </cfRule>
    <cfRule type="cellIs" dxfId="115" priority="9" operator="equal">
      <formula>"Christian Lundgaard"</formula>
    </cfRule>
    <cfRule type="cellIs" dxfId="114" priority="10" operator="equal">
      <formula>"Tuukka Taponen"</formula>
    </cfRule>
    <cfRule type="cellIs" dxfId="113" priority="11" operator="equal">
      <formula>"Oliver Goethe"</formula>
    </cfRule>
    <cfRule type="cellIs" dxfId="112" priority="12" operator="equal">
      <formula>"Doriane Pin"</formula>
    </cfRule>
    <cfRule type="cellIs" dxfId="111" priority="13" operator="equal">
      <formula>"Dan Ticktum"</formula>
    </cfRule>
    <cfRule type="cellIs" dxfId="110" priority="14" operator="equal">
      <formula>"Victor Martins"</formula>
    </cfRule>
    <cfRule type="cellIs" dxfId="109" priority="15" operator="equal">
      <formula>"Ugo Ugochukwu"</formula>
    </cfRule>
    <cfRule type="cellIs" dxfId="108" priority="16" operator="equal">
      <formula>"Yuki Tsunoda"</formula>
    </cfRule>
    <cfRule type="cellIs" dxfId="107" priority="17" operator="equal">
      <formula>"Ayumu Iwasa"</formula>
    </cfRule>
    <cfRule type="cellIs" dxfId="106" priority="18" operator="equal">
      <formula>"Kyffin Simpson"</formula>
    </cfRule>
    <cfRule type="cellIs" dxfId="105" priority="19" operator="equal">
      <formula>"Sacha Fenestraz"</formula>
    </cfRule>
    <cfRule type="cellIs" dxfId="104" priority="20" operator="equal">
      <formula>"Abbi Pulling"</formula>
    </cfRule>
    <cfRule type="cellIs" dxfId="103" priority="21" operator="equal">
      <formula>"Kyle Kirkwood"</formula>
    </cfRule>
    <cfRule type="cellIs" dxfId="102" priority="22" operator="equal">
      <formula>"Alex Palou"</formula>
    </cfRule>
    <cfRule type="cellIs" dxfId="101" priority="23" operator="equal">
      <formula>"Marta Garcia"</formula>
    </cfRule>
    <cfRule type="cellIs" dxfId="100" priority="24" operator="equal">
      <formula>"Callum Ilott"</formula>
    </cfRule>
    <cfRule type="cellIs" dxfId="99" priority="25" operator="equal">
      <formula>"Hunter McElrea"</formula>
    </cfRule>
    <cfRule type="cellIs" dxfId="98" priority="26" operator="equal">
      <formula>"Ritomo Miyata"</formula>
    </cfRule>
    <cfRule type="cellIs" dxfId="97" priority="27" operator="equal">
      <formula>"Marcus Armstrong"</formula>
    </cfRule>
    <cfRule type="cellIs" dxfId="96" priority="28" operator="equal">
      <formula>"Charles Leclerc"</formula>
    </cfRule>
    <cfRule type="cellIs" dxfId="95" priority="29" operator="equal">
      <formula>"Alexander Albon"</formula>
    </cfRule>
    <cfRule type="cellIs" dxfId="94" priority="30" operator="equal">
      <formula>"Mick Schumacher"</formula>
    </cfRule>
    <cfRule type="cellIs" dxfId="93" priority="31" operator="equal">
      <formula>"Oliver Bearman"</formula>
    </cfRule>
    <cfRule type="cellIs" dxfId="92" priority="32" operator="equal">
      <formula>"Jamie Chadwick"</formula>
    </cfRule>
    <cfRule type="cellIs" dxfId="91" priority="33" operator="equal">
      <formula>"Chloe Chambers"</formula>
    </cfRule>
    <cfRule type="cellIs" dxfId="90" priority="34" operator="equal">
      <formula>"Aurelia Nobels"</formula>
    </cfRule>
    <cfRule type="cellIs" dxfId="89" priority="35" operator="equal">
      <formula>"Maya Weug"</formula>
    </cfRule>
    <cfRule type="cellIs" dxfId="88" priority="36" operator="equal">
      <formula>"George Russell"</formula>
    </cfRule>
    <cfRule type="cellIs" dxfId="87" priority="37" operator="equal">
      <formula>"Colton Herta"</formula>
    </cfRule>
    <cfRule type="cellIs" dxfId="86" priority="38" operator="equal">
      <formula>"Theo Pourchaire"</formula>
    </cfRule>
    <cfRule type="cellIs" dxfId="85" priority="39" operator="equal">
      <formula>"Gabriel Bortoleto"</formula>
    </cfRule>
    <cfRule type="cellIs" dxfId="84" priority="71" operator="equal">
      <formula>"Dino Beganovic"</formula>
    </cfRule>
    <cfRule type="cellIs" dxfId="83" priority="72" operator="equal">
      <formula>"Kimi Antonelli"</formula>
    </cfRule>
    <cfRule type="cellIs" dxfId="82" priority="73" operator="equal">
      <formula>"Arvid Lindblad"</formula>
    </cfRule>
    <cfRule type="cellIs" dxfId="81" priority="98" operator="equal">
      <formula>"Isack Hadjar"</formula>
    </cfRule>
  </conditionalFormatting>
  <conditionalFormatting sqref="AI6:AI15 BB6:BB35 BJ6:BJ35 BT6:BT35 CD6:CD35 CN6:CN35 CX6:CX35 DI6:DI35 DQ6:DQ35 EA6:EA35 EK6:EK35 EU6:EU35 H6:H36 R6:R36 Z6:Z36 AR6:AR36">
    <cfRule type="cellIs" dxfId="80" priority="1" operator="equal">
      <formula>"#1 Super Corby Racing"</formula>
    </cfRule>
    <cfRule type="cellIs" dxfId="79" priority="2" operator="equal">
      <formula>"#24 Super Corby Racing"</formula>
    </cfRule>
    <cfRule type="cellIs" dxfId="78" priority="40" operator="equal">
      <formula>"#27 Super Corby Racing"</formula>
    </cfRule>
    <cfRule type="cellIs" dxfId="77" priority="41" operator="equal">
      <formula>"#5 Super Corby Racing"</formula>
    </cfRule>
    <cfRule type="cellIs" dxfId="76" priority="42" operator="equal">
      <formula>"#7 Bruh Racing"</formula>
    </cfRule>
    <cfRule type="cellIs" dxfId="75" priority="43" operator="equal">
      <formula>"#8 Bruh Racing"</formula>
    </cfRule>
    <cfRule type="cellIs" dxfId="74" priority="44" operator="equal">
      <formula>"#9 Bruh Racing"</formula>
    </cfRule>
    <cfRule type="cellIs" dxfId="73" priority="45" operator="equal">
      <formula>"#28 APR GP Racing"</formula>
    </cfRule>
    <cfRule type="cellIs" dxfId="72" priority="48" operator="equal">
      <formula>"#29 APR GP Racing"</formula>
    </cfRule>
    <cfRule type="cellIs" dxfId="71" priority="49" operator="equal">
      <formula>"#30 APR GP Racing"</formula>
    </cfRule>
    <cfRule type="cellIs" dxfId="70" priority="50" operator="equal">
      <formula>"#97 98-99 Racing"</formula>
    </cfRule>
    <cfRule type="cellIs" dxfId="69" priority="51" operator="equal">
      <formula>"#98 98-99 Racing"</formula>
    </cfRule>
    <cfRule type="cellIs" dxfId="68" priority="52" operator="equal">
      <formula>"#99 98-99 Racing"</formula>
    </cfRule>
    <cfRule type="cellIs" dxfId="67" priority="53" operator="equal">
      <formula>"#11 Centurion Engineering"</formula>
    </cfRule>
    <cfRule type="cellIs" dxfId="66" priority="54" operator="equal">
      <formula>"#12 Centurion Engineering"</formula>
    </cfRule>
    <cfRule type="cellIs" dxfId="65" priority="55" operator="equal">
      <formula>"#10 Centurion Engineering"</formula>
    </cfRule>
    <cfRule type="cellIs" dxfId="64" priority="56" operator="equal">
      <formula>"#90 Project D Racing"</formula>
    </cfRule>
    <cfRule type="cellIs" dxfId="63" priority="57" operator="equal">
      <formula>"#91 Project D Racing"</formula>
    </cfRule>
    <cfRule type="cellIs" dxfId="62" priority="58" operator="equal">
      <formula>"#92 Project D Racing"</formula>
    </cfRule>
    <cfRule type="cellIs" dxfId="61" priority="59" operator="equal">
      <formula>"#16 Sim Party Racing"</formula>
    </cfRule>
    <cfRule type="cellIs" dxfId="60" priority="60" operator="equal">
      <formula>"#23 Sim Party Racing"</formula>
    </cfRule>
    <cfRule type="cellIs" dxfId="59" priority="61" operator="equal">
      <formula>"#47 Sim Party Racing"</formula>
    </cfRule>
    <cfRule type="cellIs" dxfId="58" priority="62" operator="equal">
      <formula>"#18 Team Stellar"</formula>
    </cfRule>
    <cfRule type="cellIs" dxfId="57" priority="63" operator="equal">
      <formula>"#14 Team Stellar"</formula>
    </cfRule>
    <cfRule type="cellIs" dxfId="56" priority="64" operator="equal">
      <formula>"#22 Team Stellar"</formula>
    </cfRule>
    <cfRule type="cellIs" dxfId="55" priority="65" operator="equal">
      <formula>"#100 Tactically Perfect Racing"</formula>
    </cfRule>
    <cfRule type="cellIs" dxfId="54" priority="66" operator="equal">
      <formula>"#101 Tactically Perfect Racing"</formula>
    </cfRule>
    <cfRule type="cellIs" dxfId="53" priority="67" operator="equal">
      <formula>"#102 Tactically Perfect Racing"</formula>
    </cfRule>
    <cfRule type="cellIs" dxfId="52" priority="68" operator="equal">
      <formula>"#69 Blue Flag Racing"</formula>
    </cfRule>
    <cfRule type="cellIs" dxfId="51" priority="69" operator="equal">
      <formula>"#4 Blue Flag Racing"</formula>
    </cfRule>
    <cfRule type="cellIs" dxfId="50" priority="70" operator="equal">
      <formula>"#20 Blue Flag Racing"</formula>
    </cfRule>
  </conditionalFormatting>
  <conditionalFormatting sqref="AJ6:AJ15 BC6:BC35 BK6:BK35 BU6:BU35 CE6:CE35 CO6:CO35 CY6:CY35 DJ6:DJ35 DR6:DR35 EB6:EB35 EL6:EL35 EV6:EV35 I6:I36 S6:S36 AA6:AA36 AS6:AS36">
    <cfRule type="cellIs" dxfId="49" priority="505" operator="equal">
      <formula>"L"</formula>
    </cfRule>
    <cfRule type="cellIs" dxfId="48" priority="541" operator="equal">
      <formula>"M"</formula>
    </cfRule>
    <cfRule type="cellIs" dxfId="47" priority="542" operator="equal">
      <formula>"R"</formula>
    </cfRule>
    <cfRule type="cellIs" dxfId="46" priority="543" operator="equal">
      <formula>"T"</formula>
    </cfRule>
  </conditionalFormatting>
  <conditionalFormatting sqref="AK6:AK15 BD6:BD35 BL6:BL35 BV6:BV35 CF6:CF35 CP6:CP35 CZ6:CZ35 DK6:DK35 DS6:DS35 EC6:EC35 EM6:EM35 EW6:EW35 J6:J36 T6:T36 AB6:AB36 AT6:AT36">
    <cfRule type="cellIs" dxfId="45" priority="537" operator="equal">
      <formula>"C"</formula>
    </cfRule>
    <cfRule type="cellIs" dxfId="44" priority="538" operator="equal">
      <formula>"H"</formula>
    </cfRule>
    <cfRule type="cellIs" dxfId="43" priority="539" operator="equal">
      <formula>"P"</formula>
    </cfRule>
    <cfRule type="cellIs" dxfId="42" priority="540" operator="equal">
      <formula>"T"</formula>
    </cfRule>
  </conditionalFormatting>
  <conditionalFormatting sqref="AL6:AL15 BE6:BE35 BM6:BM35 BW6:BW35 CG6:CG35 CQ6:CQ35 DA6:DA35 DL6:DL35 DT6:DT35 ED6:ED35 EN6:EN35 EX6:EX35 K6:L36 U6:U36 AC6:AC36 AU6:AU36">
    <cfRule type="cellIs" dxfId="41" priority="533" operator="equal">
      <formula>"F"</formula>
    </cfRule>
    <cfRule type="cellIs" dxfId="40" priority="534" operator="equal">
      <formula>"M"</formula>
    </cfRule>
    <cfRule type="cellIs" dxfId="39" priority="535" operator="equal">
      <formula>"P"</formula>
    </cfRule>
    <cfRule type="cellIs" dxfId="38" priority="536" operator="equal">
      <formula>"H"</formula>
    </cfRule>
  </conditionalFormatting>
  <conditionalFormatting sqref="AM6:AM15 BO6:BO35 BY6:BY35 CI6:CI35 CS6:CS35 DC6:DC35 DV6:DV35 EF6:EF35 EP6:EP35 EZ6:EZ35 M6:M36 AD6:AD36 AV6:AV36">
    <cfRule type="cellIs" dxfId="37" priority="498" operator="equal">
      <formula>"Crash"</formula>
    </cfRule>
    <cfRule type="cellIs" dxfId="36" priority="501" operator="equal">
      <formula>"Cooling"</formula>
    </cfRule>
    <cfRule type="cellIs" dxfId="35" priority="502" operator="equal">
      <formula>"Engine"</formula>
    </cfRule>
    <cfRule type="cellIs" dxfId="34" priority="503" operator="equal">
      <formula>"Hybrid"</formula>
    </cfRule>
    <cfRule type="cellIs" dxfId="33" priority="506" operator="equal">
      <formula>"Gearbox"</formula>
    </cfRule>
    <cfRule type="cellIs" dxfId="32" priority="509" operator="equal">
      <formula>"Suspension"</formula>
    </cfRule>
    <cfRule type="cellIs" dxfId="31" priority="510" operator="equal">
      <formula>"Wing Failure"</formula>
    </cfRule>
    <cfRule type="cellIs" dxfId="30" priority="511" operator="equal">
      <formula>"Electronics"</formula>
    </cfRule>
    <cfRule type="cellIs" dxfId="29" priority="522" operator="equal">
      <formula>"Fuel System"</formula>
    </cfRule>
    <cfRule type="cellIs" dxfId="28" priority="523" operator="equal">
      <formula>"Tyre Failure"</formula>
    </cfRule>
    <cfRule type="cellIs" dxfId="27" priority="524" operator="equal">
      <formula>"Damage"</formula>
    </cfRule>
    <cfRule type="cellIs" dxfId="26" priority="525" operator="equal">
      <formula>"Illness"</formula>
    </cfRule>
    <cfRule type="cellIs" dxfId="25" priority="526" operator="equal">
      <formula>"Injury"</formula>
    </cfRule>
    <cfRule type="cellIs" dxfId="24" priority="527" operator="equal">
      <formula>"Underweight"</formula>
    </cfRule>
    <cfRule type="cellIs" dxfId="23" priority="528" operator="equal">
      <formula>"Wing Flex"</formula>
    </cfRule>
    <cfRule type="cellIs" dxfId="22" priority="529" operator="equal">
      <formula>"Illegal Part"</formula>
    </cfRule>
    <cfRule type="cellIs" dxfId="21" priority="530" operator="equal">
      <formula>"Fuel Sample"</formula>
    </cfRule>
    <cfRule type="cellIs" dxfId="20" priority="531" operator="equal">
      <formula>"Plank Wear"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67A3-7069-4939-9175-DDB1456A050A}">
  <sheetPr codeName="Sheet12"/>
  <dimension ref="B1:BO17"/>
  <sheetViews>
    <sheetView topLeftCell="B1" zoomScale="80" workbookViewId="0">
      <selection activeCell="I5" activeCellId="2" sqref="AA5 N5:P5 I5"/>
    </sheetView>
  </sheetViews>
  <sheetFormatPr defaultRowHeight="16.8" customHeight="1" x14ac:dyDescent="0.3"/>
  <cols>
    <col min="1" max="1" width="3.109375" style="4" customWidth="1"/>
    <col min="2" max="2" width="27.77734375" style="4" customWidth="1"/>
    <col min="3" max="5" width="11.109375" style="4" customWidth="1"/>
    <col min="6" max="7" width="3.109375" style="4" customWidth="1"/>
    <col min="8" max="8" width="10" style="4" customWidth="1"/>
    <col min="9" max="9" width="11.109375" style="4" customWidth="1"/>
    <col min="10" max="10" width="13.33203125" style="4" customWidth="1"/>
    <col min="11" max="11" width="11.109375" style="4" customWidth="1"/>
    <col min="12" max="13" width="3.109375" style="4" customWidth="1"/>
    <col min="14" max="16" width="13.33203125" style="4" customWidth="1"/>
    <col min="17" max="18" width="3.109375" style="4" customWidth="1"/>
    <col min="19" max="19" width="27.77734375" style="4" customWidth="1"/>
    <col min="20" max="27" width="10" style="4" customWidth="1"/>
    <col min="28" max="29" width="3.109375" style="4" customWidth="1"/>
    <col min="30" max="30" width="27.77734375" style="4" customWidth="1"/>
    <col min="31" max="35" width="11.109375" style="4" customWidth="1"/>
    <col min="36" max="37" width="11.109375" style="4" hidden="1" customWidth="1"/>
    <col min="38" max="38" width="11.109375" style="4" customWidth="1"/>
    <col min="39" max="40" width="3.109375" style="4" customWidth="1"/>
    <col min="41" max="41" width="27.77734375" style="4" customWidth="1"/>
    <col min="42" max="42" width="12.21875" style="4" customWidth="1"/>
    <col min="43" max="44" width="10" style="4" customWidth="1"/>
    <col min="45" max="45" width="11.109375" style="4" customWidth="1"/>
    <col min="46" max="46" width="11.109375" style="4" hidden="1" customWidth="1"/>
    <col min="47" max="47" width="13.33203125" style="4" hidden="1" customWidth="1"/>
    <col min="48" max="48" width="11.109375" style="4" customWidth="1"/>
    <col min="49" max="50" width="3.109375" style="4" customWidth="1"/>
    <col min="51" max="51" width="27.77734375" style="4" customWidth="1"/>
    <col min="52" max="52" width="12.21875" style="4" customWidth="1"/>
    <col min="53" max="58" width="10" style="4" customWidth="1"/>
    <col min="59" max="60" width="3.109375" style="4" customWidth="1"/>
    <col min="61" max="61" width="27.77734375" style="4" customWidth="1"/>
    <col min="62" max="63" width="11.109375" style="4" customWidth="1"/>
    <col min="64" max="67" width="10" style="4" customWidth="1"/>
    <col min="68" max="69" width="3.109375" style="4" customWidth="1"/>
    <col min="70" max="16384" width="8.88671875" style="4"/>
  </cols>
  <sheetData>
    <row r="1" spans="2:67" ht="16.8" customHeight="1" thickBot="1" x14ac:dyDescent="0.35"/>
    <row r="2" spans="2:67" ht="16.8" customHeight="1" x14ac:dyDescent="0.3">
      <c r="B2" s="179" t="s">
        <v>609</v>
      </c>
      <c r="C2" s="179"/>
      <c r="D2" s="179"/>
      <c r="E2" s="179"/>
      <c r="H2" s="179" t="s">
        <v>609</v>
      </c>
      <c r="I2" s="179"/>
      <c r="J2" s="179"/>
      <c r="K2" s="179"/>
      <c r="N2" s="179" t="s">
        <v>609</v>
      </c>
      <c r="O2" s="179"/>
      <c r="P2" s="179"/>
      <c r="S2" s="179" t="s">
        <v>511</v>
      </c>
      <c r="T2" s="179"/>
      <c r="U2" s="179"/>
      <c r="V2" s="179"/>
      <c r="W2" s="179"/>
      <c r="X2" s="179"/>
      <c r="Y2" s="179"/>
      <c r="Z2" s="179"/>
      <c r="AA2" s="179"/>
      <c r="AD2" s="179" t="s">
        <v>609</v>
      </c>
      <c r="AE2" s="179"/>
      <c r="AF2" s="179"/>
      <c r="AG2" s="179"/>
      <c r="AH2" s="179"/>
      <c r="AI2" s="179"/>
      <c r="AJ2" s="179"/>
      <c r="AK2" s="179"/>
      <c r="AL2" s="179"/>
      <c r="AO2" s="179" t="s">
        <v>609</v>
      </c>
      <c r="AP2" s="179"/>
      <c r="AQ2" s="179"/>
      <c r="AR2" s="179"/>
      <c r="AS2" s="179"/>
      <c r="AT2" s="179"/>
      <c r="AU2" s="179"/>
      <c r="AV2" s="179"/>
      <c r="AY2" s="179" t="s">
        <v>609</v>
      </c>
      <c r="AZ2" s="179"/>
      <c r="BA2" s="179"/>
      <c r="BB2" s="179"/>
      <c r="BC2" s="179"/>
      <c r="BD2" s="179"/>
      <c r="BE2" s="179"/>
      <c r="BF2" s="179"/>
      <c r="BI2" s="180" t="s">
        <v>609</v>
      </c>
      <c r="BJ2" s="181"/>
      <c r="BK2" s="181"/>
      <c r="BL2" s="181"/>
      <c r="BM2" s="181"/>
      <c r="BN2" s="181"/>
      <c r="BO2" s="182"/>
    </row>
    <row r="3" spans="2:67" ht="16.8" customHeight="1" thickBot="1" x14ac:dyDescent="0.35">
      <c r="B3" s="179" t="s">
        <v>392</v>
      </c>
      <c r="C3" s="179"/>
      <c r="D3" s="179"/>
      <c r="E3" s="179"/>
      <c r="H3" s="179" t="s">
        <v>393</v>
      </c>
      <c r="I3" s="179"/>
      <c r="J3" s="179"/>
      <c r="K3" s="179"/>
      <c r="N3" s="179" t="s">
        <v>418</v>
      </c>
      <c r="O3" s="179"/>
      <c r="P3" s="179"/>
      <c r="S3" s="179" t="s">
        <v>396</v>
      </c>
      <c r="T3" s="179"/>
      <c r="U3" s="179"/>
      <c r="V3" s="179"/>
      <c r="W3" s="179"/>
      <c r="X3" s="179"/>
      <c r="Y3" s="179"/>
      <c r="Z3" s="179"/>
      <c r="AA3" s="179"/>
      <c r="AD3" s="179" t="s">
        <v>0</v>
      </c>
      <c r="AE3" s="179" t="s">
        <v>421</v>
      </c>
      <c r="AF3" s="179"/>
      <c r="AG3" s="179"/>
      <c r="AH3" s="179" t="s">
        <v>420</v>
      </c>
      <c r="AI3" s="179"/>
      <c r="AJ3" s="179"/>
      <c r="AK3" s="179"/>
      <c r="AL3" s="179" t="s">
        <v>40</v>
      </c>
      <c r="AO3" s="179" t="s">
        <v>0</v>
      </c>
      <c r="AP3" s="179" t="s">
        <v>1</v>
      </c>
      <c r="AQ3" s="179" t="s">
        <v>421</v>
      </c>
      <c r="AR3" s="179"/>
      <c r="AS3" s="179" t="s">
        <v>1</v>
      </c>
      <c r="AT3" s="179" t="s">
        <v>175</v>
      </c>
      <c r="AU3" s="179"/>
      <c r="AV3" s="179" t="s">
        <v>40</v>
      </c>
      <c r="AY3" s="179" t="s">
        <v>0</v>
      </c>
      <c r="AZ3" s="5" t="s">
        <v>1</v>
      </c>
      <c r="BA3" s="179" t="s">
        <v>421</v>
      </c>
      <c r="BB3" s="179"/>
      <c r="BC3" s="179"/>
      <c r="BD3" s="179" t="s">
        <v>421</v>
      </c>
      <c r="BE3" s="179"/>
      <c r="BF3" s="179" t="s">
        <v>40</v>
      </c>
      <c r="BI3" s="171" t="e">
        <f>CONCATENATE("Balance of Performance - Event ", C17, " - ", VLOOKUP(CONCATENATE("E", C17), calendar, 2, FALSE), " - ", N17, " / ", O17, " + ", P17)</f>
        <v>#REF!</v>
      </c>
      <c r="BJ3" s="172"/>
      <c r="BK3" s="172"/>
      <c r="BL3" s="172"/>
      <c r="BM3" s="172"/>
      <c r="BN3" s="172"/>
      <c r="BO3" s="173"/>
    </row>
    <row r="4" spans="2:67" ht="16.8" customHeight="1" thickBot="1" x14ac:dyDescent="0.35">
      <c r="B4" s="5" t="s">
        <v>0</v>
      </c>
      <c r="C4" s="5" t="s">
        <v>422</v>
      </c>
      <c r="D4" s="5" t="s">
        <v>2</v>
      </c>
      <c r="E4" s="5" t="s">
        <v>3</v>
      </c>
      <c r="H4" s="5" t="s">
        <v>156</v>
      </c>
      <c r="I4" s="5" t="s">
        <v>155</v>
      </c>
      <c r="J4" s="5" t="s">
        <v>42</v>
      </c>
      <c r="K4" s="5" t="s">
        <v>157</v>
      </c>
      <c r="N4" s="5" t="s">
        <v>369</v>
      </c>
      <c r="O4" s="5" t="s">
        <v>368</v>
      </c>
      <c r="P4" s="5" t="s">
        <v>368</v>
      </c>
      <c r="S4" s="5" t="s">
        <v>0</v>
      </c>
      <c r="T4" s="5" t="s">
        <v>39</v>
      </c>
      <c r="U4" s="5" t="s">
        <v>1</v>
      </c>
      <c r="V4" s="5" t="s">
        <v>375</v>
      </c>
      <c r="W4" s="5" t="s">
        <v>39</v>
      </c>
      <c r="X4" s="5" t="s">
        <v>1</v>
      </c>
      <c r="Y4" s="5" t="s">
        <v>2</v>
      </c>
      <c r="Z4" s="5" t="s">
        <v>3</v>
      </c>
      <c r="AA4" s="5" t="s">
        <v>40</v>
      </c>
      <c r="AD4" s="179"/>
      <c r="AE4" s="5" t="s">
        <v>176</v>
      </c>
      <c r="AF4" s="5" t="s">
        <v>177</v>
      </c>
      <c r="AG4" s="5" t="s">
        <v>424</v>
      </c>
      <c r="AH4" s="5" t="s">
        <v>176</v>
      </c>
      <c r="AI4" s="5" t="s">
        <v>177</v>
      </c>
      <c r="AJ4" s="5" t="s">
        <v>178</v>
      </c>
      <c r="AK4" s="5" t="s">
        <v>179</v>
      </c>
      <c r="AL4" s="179"/>
      <c r="AO4" s="179"/>
      <c r="AP4" s="179"/>
      <c r="AQ4" s="5" t="s">
        <v>1</v>
      </c>
      <c r="AR4" s="5" t="s">
        <v>424</v>
      </c>
      <c r="AS4" s="179"/>
      <c r="AT4" s="5" t="s">
        <v>176</v>
      </c>
      <c r="AU4" s="5" t="s">
        <v>177</v>
      </c>
      <c r="AV4" s="179"/>
      <c r="AY4" s="179"/>
      <c r="AZ4" s="5" t="s">
        <v>2</v>
      </c>
      <c r="BA4" s="5" t="s">
        <v>2</v>
      </c>
      <c r="BB4" s="5" t="s">
        <v>41</v>
      </c>
      <c r="BC4" s="5" t="s">
        <v>424</v>
      </c>
      <c r="BD4" s="5" t="s">
        <v>2</v>
      </c>
      <c r="BE4" s="5" t="s">
        <v>41</v>
      </c>
      <c r="BF4" s="179"/>
      <c r="BI4" s="7" t="s">
        <v>0</v>
      </c>
      <c r="BJ4" s="32" t="s">
        <v>176</v>
      </c>
      <c r="BK4" s="33" t="s">
        <v>177</v>
      </c>
      <c r="BL4" s="33" t="s">
        <v>1</v>
      </c>
      <c r="BM4" s="33" t="s">
        <v>2</v>
      </c>
      <c r="BN4" s="34" t="s">
        <v>41</v>
      </c>
      <c r="BO4" s="7" t="s">
        <v>565</v>
      </c>
    </row>
    <row r="5" spans="2:67" ht="16.8" customHeight="1" x14ac:dyDescent="0.3">
      <c r="B5" s="22" t="str">
        <f>IF(Start!B5 &lt;&gt; "", Start!B5, "")</f>
        <v>Bruh Racing</v>
      </c>
      <c r="C5" s="5" t="str">
        <f>IF(Start!C5 &lt;&gt; "", Start!C5, "")</f>
        <v>Lola</v>
      </c>
      <c r="D5" s="5" t="str">
        <f>IF(Start!D5 &lt;&gt; "", Start!D5, "")</f>
        <v>Chevrolet</v>
      </c>
      <c r="E5" s="5" t="str">
        <f>IF(Start!E5 &lt;&gt; "", Start!E5, "")</f>
        <v>Pirelli</v>
      </c>
      <c r="H5" s="135" t="e">
        <f t="shared" ref="H5:H14" si="0">AA5 + SUM(N5:P5)</f>
        <v>#REF!</v>
      </c>
      <c r="I5" s="135">
        <f>Stats!I5 + SUM(T5:V5)</f>
        <v>125</v>
      </c>
      <c r="J5" s="135">
        <f>Stats!J5</f>
        <v>98.7</v>
      </c>
      <c r="K5" s="135" t="e">
        <f>SUM(H5:I5)</f>
        <v>#REF!</v>
      </c>
      <c r="N5" s="5">
        <f>IF(N17 = "Aero", T5, IF(N17 = "Chassis", U5, IF(N17 = "Suspension", V5, 0)))</f>
        <v>0</v>
      </c>
      <c r="O5" s="5" t="e">
        <f>IF(O17 = "Aero", W5, IF(O17 = "Chassis", IF(C5 &lt;&gt; "", AS5, 0), IF(O17 = "Suspension", IF(C5 &lt;&gt; "", VLOOKUP(C5, chassisShortStatsNew, 3, FALSE), 0), IF(O17 = "Engine", Y5, 0))))</f>
        <v>#REF!</v>
      </c>
      <c r="P5" s="5" t="e">
        <f>IF(P17 = "Aero", W5, IF(P17 = "Chassis", IF(C5 &lt;&gt; "", AS5, 0), IF(P17 = "Suspension", IF(C5 &lt;&gt; "", VLOOKUP(C5, chassisShortStatsNew, 3, FALSE), 0), IF(P17 = "Engine", Y5, 0))))</f>
        <v>#REF!</v>
      </c>
      <c r="S5" s="22" t="str">
        <f t="shared" ref="S5:S14" si="1">B5</f>
        <v>Bruh Racing</v>
      </c>
      <c r="T5" s="135">
        <f>Stats!AI5</f>
        <v>7</v>
      </c>
      <c r="U5" s="135">
        <f>Stats!AJ5</f>
        <v>7</v>
      </c>
      <c r="V5" s="135">
        <f>Stats!AK5</f>
        <v>10</v>
      </c>
      <c r="W5" s="135">
        <f>AL5</f>
        <v>133</v>
      </c>
      <c r="X5" s="135">
        <f>AV5</f>
        <v>213</v>
      </c>
      <c r="Y5" s="135">
        <f>BF5</f>
        <v>216</v>
      </c>
      <c r="Z5" s="135">
        <f t="shared" ref="Z5:Z14" si="2">VLOOKUP(E5, tyreStatsNew, 2, FALSE)</f>
        <v>106</v>
      </c>
      <c r="AA5" s="135">
        <f>SUM(T5:Z5)</f>
        <v>692</v>
      </c>
      <c r="AD5" s="22" t="str">
        <f t="shared" ref="AD5:AD10" si="3">B5</f>
        <v>Bruh Racing</v>
      </c>
      <c r="AE5" s="5"/>
      <c r="AF5" s="5"/>
      <c r="AG5" s="5">
        <f>SUM(AE5:AF5)</f>
        <v>0</v>
      </c>
      <c r="AH5" s="135">
        <f>Stats!AU5 - AE5</f>
        <v>36</v>
      </c>
      <c r="AI5" s="135">
        <f>Stats!AV5 - AF5</f>
        <v>28</v>
      </c>
      <c r="AJ5" s="135">
        <f>Stats!AW5</f>
        <v>44</v>
      </c>
      <c r="AK5" s="135">
        <f>Stats!AX5</f>
        <v>25</v>
      </c>
      <c r="AL5" s="135">
        <f>SUM(AH5:AK5)</f>
        <v>133</v>
      </c>
      <c r="AO5" s="22" t="str">
        <f t="shared" ref="AO5:AP10" si="4">B5</f>
        <v>Bruh Racing</v>
      </c>
      <c r="AP5" s="5" t="str">
        <f t="shared" si="4"/>
        <v>Lola</v>
      </c>
      <c r="AQ5" s="5"/>
      <c r="AR5" s="5">
        <f>SUM(AP5:AQ5)</f>
        <v>0</v>
      </c>
      <c r="AS5" s="5">
        <f t="shared" ref="AS5:AS14" si="5">IF(AP5 &lt;&gt; "", VLOOKUP(AP5, chassisStatsNew, 2, FALSE) - AQ5, 0)</f>
        <v>100</v>
      </c>
      <c r="AT5" s="5">
        <f t="shared" ref="AT5:AT14" si="6">IF(AP5 &lt;&gt; "", VLOOKUP(AP5, chassisStatsNew, 3, FALSE), 0)</f>
        <v>53</v>
      </c>
      <c r="AU5" s="5">
        <f t="shared" ref="AU5:AU14" si="7">IF(AP5 &lt;&gt; "", VLOOKUP(AP5, chassisStatsNew, 4, FALSE), 0)</f>
        <v>60</v>
      </c>
      <c r="AV5" s="135">
        <f>SUM(AS5:AU5)</f>
        <v>213</v>
      </c>
      <c r="AY5" s="22" t="str">
        <f t="shared" ref="AY5:AY10" si="8">B5</f>
        <v>Bruh Racing</v>
      </c>
      <c r="AZ5" s="5" t="str">
        <f t="shared" ref="AZ5:AZ14" si="9">D5</f>
        <v>Chevrolet</v>
      </c>
      <c r="BA5" s="5"/>
      <c r="BB5" s="5"/>
      <c r="BC5" s="5">
        <f>SUM(BA5:BB5)</f>
        <v>0</v>
      </c>
      <c r="BD5" s="135">
        <f t="shared" ref="BD5:BD14" si="10">IF(AZ5 &lt;&gt; "", VLOOKUP(AZ5, engineStatsNew, 2, FALSE) - BA5, 0)</f>
        <v>109</v>
      </c>
      <c r="BE5" s="135">
        <f t="shared" ref="BE5:BE14" si="11">IF(AZ5 &lt;&gt; "", VLOOKUP(AZ5, engineStatsNew, 3, FALSE) - BB5, 0)</f>
        <v>107</v>
      </c>
      <c r="BF5" s="135">
        <f>SUM(BD5:BE5)</f>
        <v>216</v>
      </c>
      <c r="BI5" s="45" t="s">
        <v>440</v>
      </c>
      <c r="BJ5" s="46">
        <f>AE5</f>
        <v>0</v>
      </c>
      <c r="BK5" s="6">
        <f t="shared" ref="BK5:BK14" si="12">AF5</f>
        <v>0</v>
      </c>
      <c r="BL5" s="6">
        <f>AQ5</f>
        <v>0</v>
      </c>
      <c r="BM5" s="6">
        <f>BA5</f>
        <v>0</v>
      </c>
      <c r="BN5" s="47">
        <f t="shared" ref="BN5:BN14" si="13">BB5</f>
        <v>0</v>
      </c>
      <c r="BO5" s="143" t="e">
        <f t="shared" ref="BO5:BO14" si="14">H5</f>
        <v>#REF!</v>
      </c>
    </row>
    <row r="6" spans="2:67" ht="16.8" customHeight="1" x14ac:dyDescent="0.3">
      <c r="B6" s="23" t="str">
        <f>IF(Start!B6 &lt;&gt; "", Start!B6, "")</f>
        <v>Tactically Perfect Racing</v>
      </c>
      <c r="C6" s="5" t="str">
        <f>IF(Start!C6 &lt;&gt; "", Start!C6, "")</f>
        <v>Tatuus</v>
      </c>
      <c r="D6" s="5" t="str">
        <f>IF(Start!D6 &lt;&gt; "", Start!D6, "")</f>
        <v>Porsche</v>
      </c>
      <c r="E6" s="5" t="str">
        <f>IF(Start!E6 &lt;&gt; "", Start!E6, "")</f>
        <v>Michelin</v>
      </c>
      <c r="H6" s="135" t="e">
        <f t="shared" si="0"/>
        <v>#REF!</v>
      </c>
      <c r="I6" s="135">
        <f>Stats!I6 + SUM(T6:V6)</f>
        <v>125</v>
      </c>
      <c r="J6" s="135">
        <f>Stats!J6</f>
        <v>99.7</v>
      </c>
      <c r="K6" s="135" t="e">
        <f t="shared" ref="K6:K14" si="15">SUM(H6:I6)</f>
        <v>#REF!</v>
      </c>
      <c r="N6" s="5">
        <f>IF(N17 = "Aero", T6, IF(N17 = "Chassis", U6, IF(N17 = "Suspension", V6, 0)))</f>
        <v>0</v>
      </c>
      <c r="O6" s="5" t="e">
        <f>IF(O17 = "Aero", W6, IF(O17 = "Chassis", IF(C6 &lt;&gt; "", AS6, 0), IF(O17 = "Suspension", IF(C6 &lt;&gt; "", VLOOKUP(C6, chassisShortStatsNew, 3, FALSE), 0), IF(O17 = "Engine", Y6, 0))))</f>
        <v>#REF!</v>
      </c>
      <c r="P6" s="5" t="e">
        <f>IF(P17 = "Aero", W6, IF(P17 = "Chassis", IF(C6 &lt;&gt; "", AS6, 0), IF(P17 = "Suspension", IF(C6 &lt;&gt; "", VLOOKUP(C6, chassisShortStatsNew, 3, FALSE), 0), IF(P17 = "Engine", Y6, 0))))</f>
        <v>#REF!</v>
      </c>
      <c r="S6" s="23" t="str">
        <f t="shared" si="1"/>
        <v>Tactically Perfect Racing</v>
      </c>
      <c r="T6" s="135">
        <f>Stats!AI6</f>
        <v>7</v>
      </c>
      <c r="U6" s="135">
        <f>Stats!AJ6</f>
        <v>3</v>
      </c>
      <c r="V6" s="135">
        <f>Stats!AK6</f>
        <v>11</v>
      </c>
      <c r="W6" s="135">
        <f t="shared" ref="W6:W14" si="16">AL6</f>
        <v>133</v>
      </c>
      <c r="X6" s="135">
        <f t="shared" ref="X6:X14" si="17">AV6</f>
        <v>212</v>
      </c>
      <c r="Y6" s="135">
        <f t="shared" ref="Y6:Y14" si="18">BF6</f>
        <v>217</v>
      </c>
      <c r="Z6" s="135">
        <f t="shared" si="2"/>
        <v>106</v>
      </c>
      <c r="AA6" s="135">
        <f t="shared" ref="AA6:AA14" si="19">SUM(T6:Z6)</f>
        <v>689</v>
      </c>
      <c r="AD6" s="23" t="str">
        <f t="shared" si="3"/>
        <v>Tactically Perfect Racing</v>
      </c>
      <c r="AE6" s="5"/>
      <c r="AF6" s="5"/>
      <c r="AG6" s="5">
        <f t="shared" ref="AG6:AG14" si="20">SUM(AE6:AF6)</f>
        <v>0</v>
      </c>
      <c r="AH6" s="135">
        <f>Stats!AU6 - AE6</f>
        <v>33</v>
      </c>
      <c r="AI6" s="135">
        <f>Stats!AV6 - AF6</f>
        <v>33</v>
      </c>
      <c r="AJ6" s="135">
        <f>Stats!AW6</f>
        <v>43</v>
      </c>
      <c r="AK6" s="135">
        <f>Stats!AX6</f>
        <v>24</v>
      </c>
      <c r="AL6" s="135">
        <f t="shared" ref="AL6:AL14" si="21">SUM(AH6:AK6)</f>
        <v>133</v>
      </c>
      <c r="AO6" s="23" t="str">
        <f t="shared" si="4"/>
        <v>Tactically Perfect Racing</v>
      </c>
      <c r="AP6" s="5" t="str">
        <f t="shared" si="4"/>
        <v>Tatuus</v>
      </c>
      <c r="AQ6" s="5"/>
      <c r="AR6" s="5">
        <f t="shared" ref="AR6:AR14" si="22">SUM(AP6:AQ6)</f>
        <v>0</v>
      </c>
      <c r="AS6" s="5">
        <f t="shared" si="5"/>
        <v>97</v>
      </c>
      <c r="AT6" s="5">
        <f t="shared" si="6"/>
        <v>59</v>
      </c>
      <c r="AU6" s="5">
        <f t="shared" si="7"/>
        <v>56</v>
      </c>
      <c r="AV6" s="135">
        <f>SUM(AS6:AU6)</f>
        <v>212</v>
      </c>
      <c r="AY6" s="23" t="str">
        <f t="shared" si="8"/>
        <v>Tactically Perfect Racing</v>
      </c>
      <c r="AZ6" s="5" t="str">
        <f t="shared" si="9"/>
        <v>Porsche</v>
      </c>
      <c r="BA6" s="5"/>
      <c r="BB6" s="5"/>
      <c r="BC6" s="5">
        <f t="shared" ref="BC6:BC14" si="23">SUM(BA6:BB6)</f>
        <v>0</v>
      </c>
      <c r="BD6" s="135">
        <f t="shared" si="10"/>
        <v>108</v>
      </c>
      <c r="BE6" s="135">
        <f t="shared" si="11"/>
        <v>109</v>
      </c>
      <c r="BF6" s="135">
        <f>SUM(BD6:BE6)</f>
        <v>217</v>
      </c>
      <c r="BI6" s="36" t="s">
        <v>441</v>
      </c>
      <c r="BJ6" s="15">
        <f t="shared" ref="BJ6:BJ14" si="24">AE6</f>
        <v>0</v>
      </c>
      <c r="BK6" s="5">
        <f t="shared" si="12"/>
        <v>0</v>
      </c>
      <c r="BL6" s="5">
        <f t="shared" ref="BL6:BL14" si="25">AQ6</f>
        <v>0</v>
      </c>
      <c r="BM6" s="5">
        <f t="shared" ref="BM6:BM14" si="26">BA6</f>
        <v>0</v>
      </c>
      <c r="BN6" s="16">
        <f t="shared" si="13"/>
        <v>0</v>
      </c>
      <c r="BO6" s="144" t="e">
        <f t="shared" si="14"/>
        <v>#REF!</v>
      </c>
    </row>
    <row r="7" spans="2:67" ht="16.8" customHeight="1" x14ac:dyDescent="0.3">
      <c r="B7" s="24" t="str">
        <f>IF(Start!B7 &lt;&gt; "", Start!B7, "")</f>
        <v>Super Corby Racing</v>
      </c>
      <c r="C7" s="5" t="str">
        <f>IF(Start!C7 &lt;&gt; "", Start!C7, "")</f>
        <v>Tatuus</v>
      </c>
      <c r="D7" s="5" t="str">
        <f>IF(Start!D7 &lt;&gt; "", Start!D7, "")</f>
        <v>Porsche</v>
      </c>
      <c r="E7" s="5" t="str">
        <f>IF(Start!E7 &lt;&gt; "", Start!E7, "")</f>
        <v>Michelin</v>
      </c>
      <c r="H7" s="135" t="e">
        <f t="shared" si="0"/>
        <v>#REF!</v>
      </c>
      <c r="I7" s="135">
        <f>Stats!I7 + SUM(T7:V7)</f>
        <v>122</v>
      </c>
      <c r="J7" s="135">
        <f>Stats!J7</f>
        <v>99</v>
      </c>
      <c r="K7" s="135" t="e">
        <f t="shared" si="15"/>
        <v>#REF!</v>
      </c>
      <c r="N7" s="5">
        <f>IF(N17 = "Aero", T7, IF(N17 = "Chassis", U7, IF(N17 = "Suspension", V7, 0)))</f>
        <v>0</v>
      </c>
      <c r="O7" s="5" t="e">
        <f>IF(O17 = "Aero", W7, IF(O17 = "Chassis", IF(C7 &lt;&gt; "", AS7, 0), IF(O17 = "Suspension", IF(C7 &lt;&gt; "", VLOOKUP(C7, chassisShortStatsNew, 3, FALSE), 0), IF(O17 = "Engine", Y7, 0))))</f>
        <v>#REF!</v>
      </c>
      <c r="P7" s="5" t="e">
        <f>IF(P17 = "Aero", W7, IF(P17 = "Chassis", IF(C7 &lt;&gt; "", AS7, 0), IF(P17 = "Suspension", IF(C7 &lt;&gt; "", VLOOKUP(C7, chassisShortStatsNew, 3, FALSE), 0), IF(P17 = "Engine", Y7, 0))))</f>
        <v>#REF!</v>
      </c>
      <c r="S7" s="24" t="str">
        <f t="shared" si="1"/>
        <v>Super Corby Racing</v>
      </c>
      <c r="T7" s="135">
        <f>Stats!AI7</f>
        <v>5</v>
      </c>
      <c r="U7" s="135">
        <f>Stats!AJ7</f>
        <v>8</v>
      </c>
      <c r="V7" s="135">
        <f>Stats!AK7</f>
        <v>10</v>
      </c>
      <c r="W7" s="135">
        <f t="shared" si="16"/>
        <v>133</v>
      </c>
      <c r="X7" s="135">
        <f t="shared" si="17"/>
        <v>212</v>
      </c>
      <c r="Y7" s="135">
        <f t="shared" si="18"/>
        <v>217</v>
      </c>
      <c r="Z7" s="135">
        <f t="shared" si="2"/>
        <v>106</v>
      </c>
      <c r="AA7" s="135">
        <f t="shared" si="19"/>
        <v>691</v>
      </c>
      <c r="AD7" s="24" t="str">
        <f t="shared" si="3"/>
        <v>Super Corby Racing</v>
      </c>
      <c r="AE7" s="5"/>
      <c r="AF7" s="5"/>
      <c r="AG7" s="5">
        <f t="shared" si="20"/>
        <v>0</v>
      </c>
      <c r="AH7" s="135">
        <f>Stats!AU7 - AE7</f>
        <v>33</v>
      </c>
      <c r="AI7" s="135">
        <f>Stats!AV7 - AF7</f>
        <v>29</v>
      </c>
      <c r="AJ7" s="135">
        <f>Stats!AW7</f>
        <v>43</v>
      </c>
      <c r="AK7" s="135">
        <f>Stats!AX7</f>
        <v>28</v>
      </c>
      <c r="AL7" s="135">
        <f t="shared" si="21"/>
        <v>133</v>
      </c>
      <c r="AO7" s="24" t="str">
        <f t="shared" si="4"/>
        <v>Super Corby Racing</v>
      </c>
      <c r="AP7" s="5" t="str">
        <f t="shared" si="4"/>
        <v>Tatuus</v>
      </c>
      <c r="AQ7" s="5"/>
      <c r="AR7" s="5">
        <f t="shared" si="22"/>
        <v>0</v>
      </c>
      <c r="AS7" s="5">
        <f t="shared" si="5"/>
        <v>97</v>
      </c>
      <c r="AT7" s="5">
        <f t="shared" si="6"/>
        <v>59</v>
      </c>
      <c r="AU7" s="5">
        <f t="shared" si="7"/>
        <v>56</v>
      </c>
      <c r="AV7" s="135">
        <f>SUM(AS7:AU7)</f>
        <v>212</v>
      </c>
      <c r="AY7" s="24" t="str">
        <f t="shared" si="8"/>
        <v>Super Corby Racing</v>
      </c>
      <c r="AZ7" s="5" t="str">
        <f t="shared" si="9"/>
        <v>Porsche</v>
      </c>
      <c r="BA7" s="5"/>
      <c r="BB7" s="5"/>
      <c r="BC7" s="5">
        <f t="shared" si="23"/>
        <v>0</v>
      </c>
      <c r="BD7" s="135">
        <f t="shared" si="10"/>
        <v>108</v>
      </c>
      <c r="BE7" s="135">
        <f t="shared" si="11"/>
        <v>109</v>
      </c>
      <c r="BF7" s="135">
        <f>SUM(BD7:BE7)</f>
        <v>217</v>
      </c>
      <c r="BI7" s="37" t="s">
        <v>442</v>
      </c>
      <c r="BJ7" s="15">
        <f t="shared" si="24"/>
        <v>0</v>
      </c>
      <c r="BK7" s="5">
        <f t="shared" si="12"/>
        <v>0</v>
      </c>
      <c r="BL7" s="5">
        <f t="shared" si="25"/>
        <v>0</v>
      </c>
      <c r="BM7" s="5">
        <f t="shared" si="26"/>
        <v>0</v>
      </c>
      <c r="BN7" s="16">
        <f t="shared" si="13"/>
        <v>0</v>
      </c>
      <c r="BO7" s="144" t="e">
        <f t="shared" si="14"/>
        <v>#REF!</v>
      </c>
    </row>
    <row r="8" spans="2:67" ht="16.8" customHeight="1" x14ac:dyDescent="0.3">
      <c r="B8" s="134" t="str">
        <f>IF(Start!B8 &lt;&gt; "", Start!B8, "")</f>
        <v>Blue Flag Racing</v>
      </c>
      <c r="C8" s="5" t="str">
        <f>IF(Start!C8 &lt;&gt; "", Start!C8, "")</f>
        <v>Reynard</v>
      </c>
      <c r="D8" s="5" t="str">
        <f>IF(Start!D8 &lt;&gt; "", Start!D8, "")</f>
        <v>Honda</v>
      </c>
      <c r="E8" s="5" t="str">
        <f>IF(Start!E8 &lt;&gt; "", Start!E8, "")</f>
        <v>Firestone</v>
      </c>
      <c r="H8" s="135" t="e">
        <f t="shared" si="0"/>
        <v>#REF!</v>
      </c>
      <c r="I8" s="135">
        <f>Stats!I8 + SUM(T8:V8)</f>
        <v>129</v>
      </c>
      <c r="J8" s="135">
        <f>Stats!J8</f>
        <v>97.7</v>
      </c>
      <c r="K8" s="135" t="e">
        <f t="shared" si="15"/>
        <v>#REF!</v>
      </c>
      <c r="N8" s="5">
        <f>IF(N17 = "Aero", T8, IF(N17 = "Chassis", U8, IF(N17 = "Suspension", V8, 0)))</f>
        <v>0</v>
      </c>
      <c r="O8" s="5" t="e">
        <f>IF(O17 = "Aero", W8, IF(O17 = "Chassis", IF(C8 &lt;&gt; "", AS8, 0), IF(O17 = "Suspension", IF(C8 &lt;&gt; "", VLOOKUP(C8, chassisShortStatsNew, 3, FALSE), 0), IF(O17 = "Engine", Y8, 0))))</f>
        <v>#REF!</v>
      </c>
      <c r="P8" s="5" t="e">
        <f>IF(P17 = "Aero", W8, IF(P17 = "Chassis", IF(C8 &lt;&gt; "", AS8, 0), IF(P17 = "Suspension", IF(C8 &lt;&gt; "", VLOOKUP(C8, chassisShortStatsNew, 3, FALSE), 0), IF(P17 = "Engine", Y8, 0))))</f>
        <v>#REF!</v>
      </c>
      <c r="S8" s="134" t="str">
        <f t="shared" si="1"/>
        <v>Blue Flag Racing</v>
      </c>
      <c r="T8" s="135">
        <f>Stats!AI8</f>
        <v>9</v>
      </c>
      <c r="U8" s="135">
        <f>Stats!AJ8</f>
        <v>8</v>
      </c>
      <c r="V8" s="135">
        <f>Stats!AK8</f>
        <v>10</v>
      </c>
      <c r="W8" s="135">
        <f t="shared" si="16"/>
        <v>135</v>
      </c>
      <c r="X8" s="135">
        <f t="shared" si="17"/>
        <v>211</v>
      </c>
      <c r="Y8" s="135">
        <f t="shared" si="18"/>
        <v>219</v>
      </c>
      <c r="Z8" s="135">
        <f t="shared" si="2"/>
        <v>107</v>
      </c>
      <c r="AA8" s="135">
        <f t="shared" si="19"/>
        <v>699</v>
      </c>
      <c r="AD8" s="134" t="str">
        <f t="shared" si="3"/>
        <v>Blue Flag Racing</v>
      </c>
      <c r="AE8" s="5"/>
      <c r="AF8" s="5"/>
      <c r="AG8" s="5">
        <f t="shared" si="20"/>
        <v>0</v>
      </c>
      <c r="AH8" s="135">
        <f>Stats!AU8 - AE8</f>
        <v>32</v>
      </c>
      <c r="AI8" s="135">
        <f>Stats!AV8 - AF8</f>
        <v>32</v>
      </c>
      <c r="AJ8" s="135">
        <f>Stats!AW8</f>
        <v>43</v>
      </c>
      <c r="AK8" s="135">
        <f>Stats!AX8</f>
        <v>28</v>
      </c>
      <c r="AL8" s="135">
        <f t="shared" si="21"/>
        <v>135</v>
      </c>
      <c r="AO8" s="134" t="str">
        <f t="shared" si="4"/>
        <v>Blue Flag Racing</v>
      </c>
      <c r="AP8" s="5" t="str">
        <f t="shared" si="4"/>
        <v>Reynard</v>
      </c>
      <c r="AQ8" s="5"/>
      <c r="AR8" s="5">
        <f t="shared" si="22"/>
        <v>0</v>
      </c>
      <c r="AS8" s="5">
        <f t="shared" si="5"/>
        <v>98</v>
      </c>
      <c r="AT8" s="5">
        <f t="shared" si="6"/>
        <v>55</v>
      </c>
      <c r="AU8" s="5">
        <f t="shared" si="7"/>
        <v>58</v>
      </c>
      <c r="AV8" s="135">
        <f>SUM(AS8:AU8)</f>
        <v>211</v>
      </c>
      <c r="AY8" s="134" t="str">
        <f t="shared" si="8"/>
        <v>Blue Flag Racing</v>
      </c>
      <c r="AZ8" s="5" t="str">
        <f t="shared" si="9"/>
        <v>Honda</v>
      </c>
      <c r="BA8" s="5"/>
      <c r="BB8" s="5"/>
      <c r="BC8" s="5">
        <f t="shared" si="23"/>
        <v>0</v>
      </c>
      <c r="BD8" s="135">
        <f t="shared" si="10"/>
        <v>111</v>
      </c>
      <c r="BE8" s="135">
        <f t="shared" si="11"/>
        <v>108</v>
      </c>
      <c r="BF8" s="135">
        <f>SUM(BD8:BE8)</f>
        <v>219</v>
      </c>
      <c r="BI8" s="131" t="s">
        <v>606</v>
      </c>
      <c r="BJ8" s="15">
        <f t="shared" si="24"/>
        <v>0</v>
      </c>
      <c r="BK8" s="5">
        <f t="shared" si="12"/>
        <v>0</v>
      </c>
      <c r="BL8" s="5">
        <f t="shared" si="25"/>
        <v>0</v>
      </c>
      <c r="BM8" s="5">
        <f t="shared" si="26"/>
        <v>0</v>
      </c>
      <c r="BN8" s="16">
        <f t="shared" si="13"/>
        <v>0</v>
      </c>
      <c r="BO8" s="144" t="e">
        <f t="shared" si="14"/>
        <v>#REF!</v>
      </c>
    </row>
    <row r="9" spans="2:67" ht="16.8" customHeight="1" x14ac:dyDescent="0.3">
      <c r="B9" s="142" t="str">
        <f>IF(Start!B9 &lt;&gt; "", Start!B9, "")</f>
        <v>98-99 Racing</v>
      </c>
      <c r="C9" s="5" t="str">
        <f>IF(Start!C9 &lt;&gt; "", Start!C9, "")</f>
        <v>March</v>
      </c>
      <c r="D9" s="5" t="str">
        <f>IF(Start!D9 &lt;&gt; "", Start!D9, "")</f>
        <v>Porsche</v>
      </c>
      <c r="E9" s="5" t="str">
        <f>IF(Start!E9 &lt;&gt; "", Start!E9, "")</f>
        <v>Pirelli</v>
      </c>
      <c r="H9" s="135" t="e">
        <f t="shared" si="0"/>
        <v>#REF!</v>
      </c>
      <c r="I9" s="135">
        <f>Stats!I9 + SUM(T9:V9)</f>
        <v>122</v>
      </c>
      <c r="J9" s="135">
        <f>Stats!J9</f>
        <v>99</v>
      </c>
      <c r="K9" s="135" t="e">
        <f t="shared" si="15"/>
        <v>#REF!</v>
      </c>
      <c r="N9" s="5">
        <f>IF(N17 = "Aero", T9, IF(N17 = "Chassis", U9, IF(N17 = "Suspension", V9, 0)))</f>
        <v>0</v>
      </c>
      <c r="O9" s="5" t="e">
        <f>IF(O17 = "Aero", W9, IF(O17 = "Chassis", IF(C9 &lt;&gt; "", AS9, 0), IF(O17 = "Suspension", IF(C9 &lt;&gt; "", VLOOKUP(C9, chassisShortStatsNew, 3, FALSE), 0), IF(O17 = "Engine", Y9, 0))))</f>
        <v>#REF!</v>
      </c>
      <c r="P9" s="5" t="e">
        <f>IF(P17 = "Aero", W9, IF(P17 = "Chassis", IF(C9 &lt;&gt; "", AS9, 0), IF(P17 = "Suspension", IF(C9 &lt;&gt; "", VLOOKUP(C9, chassisShortStatsNew, 3, FALSE), 0), IF(P17 = "Engine", Y9, 0))))</f>
        <v>#REF!</v>
      </c>
      <c r="S9" s="142" t="str">
        <f t="shared" si="1"/>
        <v>98-99 Racing</v>
      </c>
      <c r="T9" s="135">
        <f>Stats!AI9</f>
        <v>6</v>
      </c>
      <c r="U9" s="135">
        <f>Stats!AJ9</f>
        <v>4</v>
      </c>
      <c r="V9" s="135">
        <f>Stats!AK9</f>
        <v>14</v>
      </c>
      <c r="W9" s="135">
        <f t="shared" si="16"/>
        <v>133</v>
      </c>
      <c r="X9" s="135">
        <f t="shared" si="17"/>
        <v>214</v>
      </c>
      <c r="Y9" s="135">
        <f t="shared" si="18"/>
        <v>217</v>
      </c>
      <c r="Z9" s="135">
        <f t="shared" si="2"/>
        <v>106</v>
      </c>
      <c r="AA9" s="135">
        <f t="shared" si="19"/>
        <v>694</v>
      </c>
      <c r="AD9" s="142" t="str">
        <f t="shared" si="3"/>
        <v>98-99 Racing</v>
      </c>
      <c r="AE9" s="5"/>
      <c r="AF9" s="5"/>
      <c r="AG9" s="5">
        <f t="shared" si="20"/>
        <v>0</v>
      </c>
      <c r="AH9" s="135">
        <f>Stats!AU9 - AE9</f>
        <v>31</v>
      </c>
      <c r="AI9" s="135">
        <f>Stats!AV9 - AF9</f>
        <v>32</v>
      </c>
      <c r="AJ9" s="135">
        <f>Stats!AW9</f>
        <v>44</v>
      </c>
      <c r="AK9" s="135">
        <f>Stats!AX9</f>
        <v>26</v>
      </c>
      <c r="AL9" s="135">
        <f t="shared" si="21"/>
        <v>133</v>
      </c>
      <c r="AO9" s="142" t="str">
        <f t="shared" si="4"/>
        <v>98-99 Racing</v>
      </c>
      <c r="AP9" s="5" t="str">
        <f t="shared" si="4"/>
        <v>March</v>
      </c>
      <c r="AQ9" s="5"/>
      <c r="AR9" s="5">
        <f t="shared" si="22"/>
        <v>0</v>
      </c>
      <c r="AS9" s="5">
        <f t="shared" si="5"/>
        <v>97</v>
      </c>
      <c r="AT9" s="5">
        <f t="shared" si="6"/>
        <v>59</v>
      </c>
      <c r="AU9" s="5">
        <f t="shared" si="7"/>
        <v>58</v>
      </c>
      <c r="AV9" s="135">
        <f t="shared" ref="AV9:AV14" si="27">SUM(AS9:AU9)</f>
        <v>214</v>
      </c>
      <c r="AY9" s="142" t="str">
        <f t="shared" si="8"/>
        <v>98-99 Racing</v>
      </c>
      <c r="AZ9" s="5" t="str">
        <f t="shared" si="9"/>
        <v>Porsche</v>
      </c>
      <c r="BA9" s="5"/>
      <c r="BB9" s="5"/>
      <c r="BC9" s="5">
        <f t="shared" si="23"/>
        <v>0</v>
      </c>
      <c r="BD9" s="135">
        <f t="shared" si="10"/>
        <v>108</v>
      </c>
      <c r="BE9" s="135">
        <f t="shared" si="11"/>
        <v>109</v>
      </c>
      <c r="BF9" s="135">
        <f t="shared" ref="BF9:BF14" si="28">SUM(BD9:BE9)</f>
        <v>217</v>
      </c>
      <c r="BI9" s="139" t="s">
        <v>608</v>
      </c>
      <c r="BJ9" s="15">
        <f t="shared" si="24"/>
        <v>0</v>
      </c>
      <c r="BK9" s="5">
        <f t="shared" si="12"/>
        <v>0</v>
      </c>
      <c r="BL9" s="5">
        <f t="shared" si="25"/>
        <v>0</v>
      </c>
      <c r="BM9" s="5">
        <f t="shared" si="26"/>
        <v>0</v>
      </c>
      <c r="BN9" s="16">
        <f t="shared" si="13"/>
        <v>0</v>
      </c>
      <c r="BO9" s="144" t="e">
        <f t="shared" si="14"/>
        <v>#REF!</v>
      </c>
    </row>
    <row r="10" spans="2:67" ht="16.8" customHeight="1" x14ac:dyDescent="0.3">
      <c r="B10" s="25" t="str">
        <f>IF(Start!B10 &lt;&gt; "", Start!B10, "")</f>
        <v>Project D Racing</v>
      </c>
      <c r="C10" s="5" t="str">
        <f>IF(Start!C10 &lt;&gt; "", Start!C10, "")</f>
        <v>Reynard</v>
      </c>
      <c r="D10" s="5" t="str">
        <f>IF(Start!D10 &lt;&gt; "", Start!D10, "")</f>
        <v>Toyota</v>
      </c>
      <c r="E10" s="5" t="str">
        <f>IF(Start!E10 &lt;&gt; "", Start!E10, "")</f>
        <v>Michelin</v>
      </c>
      <c r="H10" s="135" t="e">
        <f t="shared" si="0"/>
        <v>#REF!</v>
      </c>
      <c r="I10" s="135">
        <f>Stats!I10 + SUM(T10:V10)</f>
        <v>122</v>
      </c>
      <c r="J10" s="135">
        <f>Stats!J10</f>
        <v>99</v>
      </c>
      <c r="K10" s="135" t="e">
        <f t="shared" si="15"/>
        <v>#REF!</v>
      </c>
      <c r="N10" s="5">
        <f>IF(N17 = "Aero", T10, IF(N17 = "Chassis", U10, IF(N17 = "Suspension", V10, 0)))</f>
        <v>0</v>
      </c>
      <c r="O10" s="5" t="e">
        <f>IF(O17 = "Aero", W10, IF(O17 = "Chassis", IF(C10 &lt;&gt; "", AS10, 0), IF(O17 = "Suspension", IF(C10 &lt;&gt; "", VLOOKUP(C10, chassisShortStatsNew, 3, FALSE), 0), IF(O17 = "Engine", Y10, 0))))</f>
        <v>#REF!</v>
      </c>
      <c r="P10" s="5" t="e">
        <f>IF(P17 = "Aero", W10, IF(P17 = "Chassis", IF(C10 &lt;&gt; "", AS10, 0), IF(P17 = "Suspension", IF(C10 &lt;&gt; "", VLOOKUP(C10, chassisShortStatsNew, 3, FALSE), 0), IF(P17 = "Engine", Y10, 0))))</f>
        <v>#REF!</v>
      </c>
      <c r="S10" s="25" t="str">
        <f t="shared" si="1"/>
        <v>Project D Racing</v>
      </c>
      <c r="T10" s="135">
        <f>Stats!AI10</f>
        <v>2</v>
      </c>
      <c r="U10" s="135">
        <f>Stats!AJ10</f>
        <v>7</v>
      </c>
      <c r="V10" s="135">
        <f>Stats!AK10</f>
        <v>11</v>
      </c>
      <c r="W10" s="135">
        <f t="shared" si="16"/>
        <v>133</v>
      </c>
      <c r="X10" s="135">
        <f t="shared" si="17"/>
        <v>211</v>
      </c>
      <c r="Y10" s="135">
        <f t="shared" si="18"/>
        <v>215</v>
      </c>
      <c r="Z10" s="135">
        <f t="shared" si="2"/>
        <v>106</v>
      </c>
      <c r="AA10" s="135">
        <f t="shared" si="19"/>
        <v>685</v>
      </c>
      <c r="AD10" s="25" t="str">
        <f t="shared" si="3"/>
        <v>Project D Racing</v>
      </c>
      <c r="AE10" s="5"/>
      <c r="AF10" s="5"/>
      <c r="AG10" s="5">
        <f t="shared" si="20"/>
        <v>0</v>
      </c>
      <c r="AH10" s="135">
        <f>Stats!AU10 - AE10</f>
        <v>31</v>
      </c>
      <c r="AI10" s="135">
        <f>Stats!AV10 - AF10</f>
        <v>30</v>
      </c>
      <c r="AJ10" s="135">
        <f>Stats!AW10</f>
        <v>44</v>
      </c>
      <c r="AK10" s="135">
        <f>Stats!AX10</f>
        <v>28</v>
      </c>
      <c r="AL10" s="135">
        <f t="shared" si="21"/>
        <v>133</v>
      </c>
      <c r="AO10" s="25" t="str">
        <f t="shared" si="4"/>
        <v>Project D Racing</v>
      </c>
      <c r="AP10" s="5" t="str">
        <f t="shared" si="4"/>
        <v>Reynard</v>
      </c>
      <c r="AQ10" s="5"/>
      <c r="AR10" s="5">
        <f t="shared" si="22"/>
        <v>0</v>
      </c>
      <c r="AS10" s="5">
        <f t="shared" si="5"/>
        <v>98</v>
      </c>
      <c r="AT10" s="5">
        <f t="shared" si="6"/>
        <v>55</v>
      </c>
      <c r="AU10" s="5">
        <f t="shared" si="7"/>
        <v>58</v>
      </c>
      <c r="AV10" s="135">
        <f t="shared" si="27"/>
        <v>211</v>
      </c>
      <c r="AY10" s="25" t="str">
        <f t="shared" si="8"/>
        <v>Project D Racing</v>
      </c>
      <c r="AZ10" s="5" t="str">
        <f t="shared" si="9"/>
        <v>Toyota</v>
      </c>
      <c r="BA10" s="5"/>
      <c r="BB10" s="5"/>
      <c r="BC10" s="5">
        <f t="shared" si="23"/>
        <v>0</v>
      </c>
      <c r="BD10" s="135">
        <f t="shared" si="10"/>
        <v>107</v>
      </c>
      <c r="BE10" s="135">
        <f t="shared" si="11"/>
        <v>108</v>
      </c>
      <c r="BF10" s="135">
        <f t="shared" si="28"/>
        <v>215</v>
      </c>
      <c r="BI10" s="40" t="s">
        <v>443</v>
      </c>
      <c r="BJ10" s="15">
        <f t="shared" si="24"/>
        <v>0</v>
      </c>
      <c r="BK10" s="5">
        <f t="shared" si="12"/>
        <v>0</v>
      </c>
      <c r="BL10" s="5">
        <f t="shared" si="25"/>
        <v>0</v>
      </c>
      <c r="BM10" s="5">
        <f t="shared" si="26"/>
        <v>0</v>
      </c>
      <c r="BN10" s="16">
        <f t="shared" si="13"/>
        <v>0</v>
      </c>
      <c r="BO10" s="144" t="e">
        <f t="shared" si="14"/>
        <v>#REF!</v>
      </c>
    </row>
    <row r="11" spans="2:67" ht="16.8" customHeight="1" x14ac:dyDescent="0.3">
      <c r="B11" s="26" t="s">
        <v>554</v>
      </c>
      <c r="C11" s="5" t="str">
        <f>IF(Start!C11 &lt;&gt; "", Start!C11, "")</f>
        <v>March</v>
      </c>
      <c r="D11" s="5" t="str">
        <f>IF(Start!D11 &lt;&gt; "", Start!D11, "")</f>
        <v>Honda</v>
      </c>
      <c r="E11" s="5" t="str">
        <f>IF(Start!E11 &lt;&gt; "", Start!E11, "")</f>
        <v>Firestone</v>
      </c>
      <c r="H11" s="135" t="e">
        <f t="shared" si="0"/>
        <v>#REF!</v>
      </c>
      <c r="I11" s="135">
        <f>Stats!I11 + SUM(T11:V11)</f>
        <v>131</v>
      </c>
      <c r="J11" s="135">
        <f>Stats!J11</f>
        <v>98.3</v>
      </c>
      <c r="K11" s="135" t="e">
        <f t="shared" si="15"/>
        <v>#REF!</v>
      </c>
      <c r="N11" s="5">
        <f>IF(N17 = "Aero", T11, IF(N17 = "Chassis", U11, IF(N17 = "Suspension", V11, 0)))</f>
        <v>0</v>
      </c>
      <c r="O11" s="5" t="e">
        <f>IF(O17 = "Aero", W11, IF(O17 = "Chassis", IF(C11 &lt;&gt; "", AS11, 0), IF(O17 = "Suspension", IF(C11 &lt;&gt; "", VLOOKUP(C11, chassisShortStatsNew, 3, FALSE), 0), IF(O17 = "Engine", Y11, 0))))</f>
        <v>#REF!</v>
      </c>
      <c r="P11" s="5" t="e">
        <f>IF(P17 = "Aero", W11, IF(P17 = "Chassis", IF(C11 &lt;&gt; "", AS11, 0), IF(P17 = "Suspension", IF(C11 &lt;&gt; "", VLOOKUP(C11, chassisShortStatsNew, 3, FALSE), 0), IF(P17 = "Engine", Y11, 0))))</f>
        <v>#REF!</v>
      </c>
      <c r="S11" s="26" t="str">
        <f t="shared" si="1"/>
        <v>Team Stellar</v>
      </c>
      <c r="T11" s="135">
        <f>Stats!AI11</f>
        <v>6</v>
      </c>
      <c r="U11" s="135">
        <f>Stats!AJ11</f>
        <v>9</v>
      </c>
      <c r="V11" s="135">
        <f>Stats!AK11</f>
        <v>12</v>
      </c>
      <c r="W11" s="135">
        <f t="shared" si="16"/>
        <v>133</v>
      </c>
      <c r="X11" s="135">
        <f t="shared" si="17"/>
        <v>214</v>
      </c>
      <c r="Y11" s="135">
        <f t="shared" si="18"/>
        <v>219</v>
      </c>
      <c r="Z11" s="135">
        <f t="shared" si="2"/>
        <v>107</v>
      </c>
      <c r="AA11" s="135">
        <f t="shared" si="19"/>
        <v>700</v>
      </c>
      <c r="AD11" s="26" t="s">
        <v>554</v>
      </c>
      <c r="AE11" s="5"/>
      <c r="AF11" s="5"/>
      <c r="AG11" s="5">
        <f t="shared" si="20"/>
        <v>0</v>
      </c>
      <c r="AH11" s="135">
        <f>Stats!AU11 - AE11</f>
        <v>31</v>
      </c>
      <c r="AI11" s="135">
        <f>Stats!AV11 - AF11</f>
        <v>32</v>
      </c>
      <c r="AJ11" s="135">
        <f>Stats!AW11</f>
        <v>44</v>
      </c>
      <c r="AK11" s="135">
        <f>Stats!AX11</f>
        <v>26</v>
      </c>
      <c r="AL11" s="135">
        <f t="shared" si="21"/>
        <v>133</v>
      </c>
      <c r="AO11" s="26" t="s">
        <v>554</v>
      </c>
      <c r="AP11" s="5" t="str">
        <f>C11</f>
        <v>March</v>
      </c>
      <c r="AQ11" s="5"/>
      <c r="AR11" s="5">
        <f t="shared" si="22"/>
        <v>0</v>
      </c>
      <c r="AS11" s="5">
        <f t="shared" si="5"/>
        <v>97</v>
      </c>
      <c r="AT11" s="5">
        <f t="shared" si="6"/>
        <v>59</v>
      </c>
      <c r="AU11" s="5">
        <f t="shared" si="7"/>
        <v>58</v>
      </c>
      <c r="AV11" s="135">
        <f t="shared" si="27"/>
        <v>214</v>
      </c>
      <c r="AY11" s="26" t="s">
        <v>554</v>
      </c>
      <c r="AZ11" s="5" t="str">
        <f t="shared" si="9"/>
        <v>Honda</v>
      </c>
      <c r="BA11" s="5"/>
      <c r="BB11" s="5"/>
      <c r="BC11" s="5">
        <f t="shared" si="23"/>
        <v>0</v>
      </c>
      <c r="BD11" s="135">
        <f t="shared" si="10"/>
        <v>111</v>
      </c>
      <c r="BE11" s="135">
        <f t="shared" si="11"/>
        <v>108</v>
      </c>
      <c r="BF11" s="135">
        <f t="shared" si="28"/>
        <v>219</v>
      </c>
      <c r="BI11" s="41" t="s">
        <v>555</v>
      </c>
      <c r="BJ11" s="15">
        <f t="shared" si="24"/>
        <v>0</v>
      </c>
      <c r="BK11" s="5">
        <f t="shared" si="12"/>
        <v>0</v>
      </c>
      <c r="BL11" s="5">
        <f t="shared" si="25"/>
        <v>0</v>
      </c>
      <c r="BM11" s="5">
        <f t="shared" si="26"/>
        <v>0</v>
      </c>
      <c r="BN11" s="16">
        <f t="shared" si="13"/>
        <v>0</v>
      </c>
      <c r="BO11" s="144" t="e">
        <f t="shared" si="14"/>
        <v>#REF!</v>
      </c>
    </row>
    <row r="12" spans="2:67" ht="16.8" customHeight="1" x14ac:dyDescent="0.3">
      <c r="B12" s="27" t="str">
        <f>IF(Start!B12 &lt;&gt; "", Start!B12, "")</f>
        <v>Sim Party Racing</v>
      </c>
      <c r="C12" s="5" t="str">
        <f>IF(Start!C12 &lt;&gt; "", Start!C12, "")</f>
        <v>Lola</v>
      </c>
      <c r="D12" s="5" t="str">
        <f>IF(Start!D12 &lt;&gt; "", Start!D12, "")</f>
        <v>Chevrolet</v>
      </c>
      <c r="E12" s="5" t="str">
        <f>IF(Start!E12 &lt;&gt; "", Start!E12, "")</f>
        <v>Michelin</v>
      </c>
      <c r="H12" s="135" t="e">
        <f t="shared" si="0"/>
        <v>#REF!</v>
      </c>
      <c r="I12" s="135">
        <f>Stats!I12 + SUM(T12:V12)</f>
        <v>123</v>
      </c>
      <c r="J12" s="135">
        <f>Stats!J12</f>
        <v>97.7</v>
      </c>
      <c r="K12" s="135" t="e">
        <f t="shared" si="15"/>
        <v>#REF!</v>
      </c>
      <c r="N12" s="5">
        <f>IF(N17 = "Aero", T12, IF(N17 = "Chassis", U12, IF(N17 = "Suspension", V12, 0)))</f>
        <v>0</v>
      </c>
      <c r="O12" s="5" t="e">
        <f>IF(O17 = "Aero", W12, IF(O17 = "Chassis", IF(C12 &lt;&gt; "", AS12, 0), IF(O17 = "Suspension", IF(C12 &lt;&gt; "", VLOOKUP(C12, chassisShortStatsNew, 3, FALSE), 0), IF(O17 = "Engine", Y12, 0))))</f>
        <v>#REF!</v>
      </c>
      <c r="P12" s="5" t="e">
        <f>IF(P17 = "Aero", W12, IF(P17 = "Chassis", IF(C12 &lt;&gt; "", AS12, 0), IF(P17 = "Suspension", IF(C12 &lt;&gt; "", VLOOKUP(C12, chassisShortStatsNew, 3, FALSE), 0), IF(P17 = "Engine", Y12, 0))))</f>
        <v>#REF!</v>
      </c>
      <c r="S12" s="27" t="str">
        <f t="shared" si="1"/>
        <v>Sim Party Racing</v>
      </c>
      <c r="T12" s="135">
        <f>Stats!AI12</f>
        <v>8</v>
      </c>
      <c r="U12" s="135">
        <f>Stats!AJ12</f>
        <v>5</v>
      </c>
      <c r="V12" s="135">
        <f>Stats!AK12</f>
        <v>9</v>
      </c>
      <c r="W12" s="135">
        <f t="shared" si="16"/>
        <v>132</v>
      </c>
      <c r="X12" s="135">
        <f t="shared" si="17"/>
        <v>213</v>
      </c>
      <c r="Y12" s="135">
        <f t="shared" si="18"/>
        <v>216</v>
      </c>
      <c r="Z12" s="135">
        <f t="shared" si="2"/>
        <v>106</v>
      </c>
      <c r="AA12" s="135">
        <f t="shared" si="19"/>
        <v>689</v>
      </c>
      <c r="AD12" s="27" t="str">
        <f>B12</f>
        <v>Sim Party Racing</v>
      </c>
      <c r="AE12" s="5"/>
      <c r="AF12" s="5"/>
      <c r="AG12" s="5">
        <f t="shared" si="20"/>
        <v>0</v>
      </c>
      <c r="AH12" s="135">
        <f>Stats!AU12 - AE12</f>
        <v>27</v>
      </c>
      <c r="AI12" s="135">
        <f>Stats!AV12 - AF12</f>
        <v>30</v>
      </c>
      <c r="AJ12" s="135">
        <f>Stats!AW12</f>
        <v>43</v>
      </c>
      <c r="AK12" s="135">
        <f>Stats!AX12</f>
        <v>32</v>
      </c>
      <c r="AL12" s="135">
        <f t="shared" si="21"/>
        <v>132</v>
      </c>
      <c r="AO12" s="27" t="str">
        <f>B12</f>
        <v>Sim Party Racing</v>
      </c>
      <c r="AP12" s="5" t="str">
        <f>C12</f>
        <v>Lola</v>
      </c>
      <c r="AQ12" s="5"/>
      <c r="AR12" s="5">
        <f t="shared" si="22"/>
        <v>0</v>
      </c>
      <c r="AS12" s="5">
        <f t="shared" si="5"/>
        <v>100</v>
      </c>
      <c r="AT12" s="5">
        <f t="shared" si="6"/>
        <v>53</v>
      </c>
      <c r="AU12" s="5">
        <f t="shared" si="7"/>
        <v>60</v>
      </c>
      <c r="AV12" s="135">
        <f t="shared" si="27"/>
        <v>213</v>
      </c>
      <c r="AY12" s="27" t="str">
        <f>B12</f>
        <v>Sim Party Racing</v>
      </c>
      <c r="AZ12" s="5" t="str">
        <f t="shared" si="9"/>
        <v>Chevrolet</v>
      </c>
      <c r="BA12" s="5"/>
      <c r="BB12" s="5"/>
      <c r="BC12" s="5">
        <f t="shared" si="23"/>
        <v>0</v>
      </c>
      <c r="BD12" s="135">
        <f t="shared" si="10"/>
        <v>109</v>
      </c>
      <c r="BE12" s="135">
        <f t="shared" si="11"/>
        <v>107</v>
      </c>
      <c r="BF12" s="135">
        <f t="shared" si="28"/>
        <v>216</v>
      </c>
      <c r="BI12" s="42" t="s">
        <v>444</v>
      </c>
      <c r="BJ12" s="15">
        <f t="shared" si="24"/>
        <v>0</v>
      </c>
      <c r="BK12" s="5">
        <f t="shared" si="12"/>
        <v>0</v>
      </c>
      <c r="BL12" s="5">
        <f t="shared" si="25"/>
        <v>0</v>
      </c>
      <c r="BM12" s="5">
        <f t="shared" si="26"/>
        <v>0</v>
      </c>
      <c r="BN12" s="16">
        <f t="shared" si="13"/>
        <v>0</v>
      </c>
      <c r="BO12" s="144" t="e">
        <f t="shared" si="14"/>
        <v>#REF!</v>
      </c>
    </row>
    <row r="13" spans="2:67" ht="16.8" customHeight="1" x14ac:dyDescent="0.3">
      <c r="B13" s="28" t="str">
        <f>IF(Start!B13 &lt;&gt; "", Start!B13, "")</f>
        <v>Centurion Engineering</v>
      </c>
      <c r="C13" s="5" t="str">
        <f>IF(Start!C13 &lt;&gt; "", Start!C13, "")</f>
        <v>Lola</v>
      </c>
      <c r="D13" s="5" t="str">
        <f>IF(Start!D13 &lt;&gt; "", Start!D13, "")</f>
        <v>Porsche</v>
      </c>
      <c r="E13" s="5" t="str">
        <f>IF(Start!E13 &lt;&gt; "", Start!E13, "")</f>
        <v>Michelin</v>
      </c>
      <c r="H13" s="135" t="e">
        <f t="shared" si="0"/>
        <v>#REF!</v>
      </c>
      <c r="I13" s="135">
        <f>Stats!I13 + SUM(T13:V13)</f>
        <v>125</v>
      </c>
      <c r="J13" s="135">
        <f>Stats!J13</f>
        <v>100</v>
      </c>
      <c r="K13" s="135" t="e">
        <f t="shared" si="15"/>
        <v>#REF!</v>
      </c>
      <c r="N13" s="5">
        <f>IF(N17 = "Aero", T13, IF(N17 = "Chassis", U13, IF(N17 = "Suspension", V13, 0)))</f>
        <v>0</v>
      </c>
      <c r="O13" s="5" t="e">
        <f>IF(O17 = "Aero", W13, IF(O17 = "Chassis", IF(C13 &lt;&gt; "", AS13, 0), IF(O17 = "Suspension", IF(C13 &lt;&gt; "", VLOOKUP(C13, chassisShortStatsNew, 3, FALSE), 0), IF(O17 = "Engine", Y13, 0))))</f>
        <v>#REF!</v>
      </c>
      <c r="P13" s="5" t="e">
        <f>IF(P17 = "Aero", W13, IF(P17 = "Chassis", IF(C13 &lt;&gt; "", AS13, 0), IF(P17 = "Suspension", IF(C13 &lt;&gt; "", VLOOKUP(C13, chassisShortStatsNew, 3, FALSE), 0), IF(P17 = "Engine", Y13, 0))))</f>
        <v>#REF!</v>
      </c>
      <c r="S13" s="28" t="str">
        <f t="shared" si="1"/>
        <v>Centurion Engineering</v>
      </c>
      <c r="T13" s="135">
        <f>Stats!AI13</f>
        <v>7</v>
      </c>
      <c r="U13" s="135">
        <f>Stats!AJ13</f>
        <v>4</v>
      </c>
      <c r="V13" s="135">
        <f>Stats!AK13</f>
        <v>11</v>
      </c>
      <c r="W13" s="135">
        <f t="shared" si="16"/>
        <v>132</v>
      </c>
      <c r="X13" s="135">
        <f t="shared" si="17"/>
        <v>213</v>
      </c>
      <c r="Y13" s="135">
        <f t="shared" si="18"/>
        <v>217</v>
      </c>
      <c r="Z13" s="135">
        <f t="shared" si="2"/>
        <v>106</v>
      </c>
      <c r="AA13" s="135">
        <f t="shared" si="19"/>
        <v>690</v>
      </c>
      <c r="AD13" s="28" t="str">
        <f>B13</f>
        <v>Centurion Engineering</v>
      </c>
      <c r="AE13" s="5"/>
      <c r="AF13" s="5"/>
      <c r="AG13" s="5">
        <f t="shared" si="20"/>
        <v>0</v>
      </c>
      <c r="AH13" s="135">
        <f>Stats!AU13 - AE13</f>
        <v>30</v>
      </c>
      <c r="AI13" s="135">
        <f>Stats!AV13 - AF13</f>
        <v>30</v>
      </c>
      <c r="AJ13" s="135">
        <f>Stats!AW13</f>
        <v>44</v>
      </c>
      <c r="AK13" s="135">
        <f>Stats!AX13</f>
        <v>28</v>
      </c>
      <c r="AL13" s="135">
        <f t="shared" si="21"/>
        <v>132</v>
      </c>
      <c r="AO13" s="28" t="str">
        <f>B13</f>
        <v>Centurion Engineering</v>
      </c>
      <c r="AP13" s="5" t="str">
        <f>C13</f>
        <v>Lola</v>
      </c>
      <c r="AQ13" s="5"/>
      <c r="AR13" s="5">
        <f t="shared" si="22"/>
        <v>0</v>
      </c>
      <c r="AS13" s="5">
        <f t="shared" si="5"/>
        <v>100</v>
      </c>
      <c r="AT13" s="5">
        <f t="shared" si="6"/>
        <v>53</v>
      </c>
      <c r="AU13" s="5">
        <f t="shared" si="7"/>
        <v>60</v>
      </c>
      <c r="AV13" s="135">
        <f t="shared" si="27"/>
        <v>213</v>
      </c>
      <c r="AY13" s="28" t="str">
        <f>B13</f>
        <v>Centurion Engineering</v>
      </c>
      <c r="AZ13" s="5" t="str">
        <f t="shared" si="9"/>
        <v>Porsche</v>
      </c>
      <c r="BA13" s="5"/>
      <c r="BB13" s="5"/>
      <c r="BC13" s="5">
        <f t="shared" si="23"/>
        <v>0</v>
      </c>
      <c r="BD13" s="135">
        <f t="shared" si="10"/>
        <v>108</v>
      </c>
      <c r="BE13" s="135">
        <f t="shared" si="11"/>
        <v>109</v>
      </c>
      <c r="BF13" s="135">
        <f t="shared" si="28"/>
        <v>217</v>
      </c>
      <c r="BI13" s="43" t="s">
        <v>445</v>
      </c>
      <c r="BJ13" s="15">
        <f t="shared" si="24"/>
        <v>0</v>
      </c>
      <c r="BK13" s="5">
        <f t="shared" si="12"/>
        <v>0</v>
      </c>
      <c r="BL13" s="5">
        <f t="shared" si="25"/>
        <v>0</v>
      </c>
      <c r="BM13" s="5">
        <f t="shared" si="26"/>
        <v>0</v>
      </c>
      <c r="BN13" s="16">
        <f t="shared" si="13"/>
        <v>0</v>
      </c>
      <c r="BO13" s="144" t="e">
        <f t="shared" si="14"/>
        <v>#REF!</v>
      </c>
    </row>
    <row r="14" spans="2:67" ht="16.8" customHeight="1" thickBot="1" x14ac:dyDescent="0.35">
      <c r="B14" s="29" t="str">
        <f>IF(Start!B14 &lt;&gt; "", Start!B14, "")</f>
        <v>APR GP Racing</v>
      </c>
      <c r="C14" s="5" t="str">
        <f>IF(Start!C14 &lt;&gt; "", Start!C14, "")</f>
        <v>Tatuus</v>
      </c>
      <c r="D14" s="5" t="str">
        <f>IF(Start!D14 &lt;&gt; "", Start!D14, "")</f>
        <v>Toyota</v>
      </c>
      <c r="E14" s="5" t="str">
        <f>IF(Start!E14 &lt;&gt; "", Start!E14, "")</f>
        <v>Firestone</v>
      </c>
      <c r="H14" s="135" t="e">
        <f t="shared" si="0"/>
        <v>#REF!</v>
      </c>
      <c r="I14" s="135">
        <f>Stats!I14 + SUM(T14:V14)</f>
        <v>126</v>
      </c>
      <c r="J14" s="135">
        <f>Stats!J14</f>
        <v>99.3</v>
      </c>
      <c r="K14" s="135" t="e">
        <f t="shared" si="15"/>
        <v>#REF!</v>
      </c>
      <c r="N14" s="5">
        <f>IF(N17 = "Aero", T14, IF(N17 = "Chassis", U14, IF(N17 = "Suspension", V14, 0)))</f>
        <v>0</v>
      </c>
      <c r="O14" s="5" t="e">
        <f>IF(O17 = "Aero", W14, IF(O17 = "Chassis", IF(C14 &lt;&gt; "", AS14, 0), IF(O17 = "Suspension", IF(C14 &lt;&gt; "", VLOOKUP(C14, chassisShortStatsNew, 3, FALSE), 0), IF(O17 = "Engine", Y14, 0))))</f>
        <v>#REF!</v>
      </c>
      <c r="P14" s="5" t="e">
        <f>IF(P17 = "Aero", W14, IF(P17 = "Chassis", IF(C14 &lt;&gt; "", AS14, 0), IF(P17 = "Suspension", IF(C14 &lt;&gt; "", VLOOKUP(C14, chassisShortStatsNew, 3, FALSE), 0), IF(P17 = "Engine", Y14, 0))))</f>
        <v>#REF!</v>
      </c>
      <c r="S14" s="29" t="str">
        <f t="shared" si="1"/>
        <v>APR GP Racing</v>
      </c>
      <c r="T14" s="135">
        <f>Stats!AI14</f>
        <v>6</v>
      </c>
      <c r="U14" s="135">
        <f>Stats!AJ14</f>
        <v>5</v>
      </c>
      <c r="V14" s="135">
        <f>Stats!AK14</f>
        <v>16</v>
      </c>
      <c r="W14" s="135">
        <f t="shared" si="16"/>
        <v>134</v>
      </c>
      <c r="X14" s="135">
        <f t="shared" si="17"/>
        <v>212</v>
      </c>
      <c r="Y14" s="135">
        <f t="shared" si="18"/>
        <v>215</v>
      </c>
      <c r="Z14" s="135">
        <f t="shared" si="2"/>
        <v>107</v>
      </c>
      <c r="AA14" s="135">
        <f t="shared" si="19"/>
        <v>695</v>
      </c>
      <c r="AD14" s="29" t="str">
        <f>B14</f>
        <v>APR GP Racing</v>
      </c>
      <c r="AE14" s="5"/>
      <c r="AF14" s="5"/>
      <c r="AG14" s="5">
        <f t="shared" si="20"/>
        <v>0</v>
      </c>
      <c r="AH14" s="135">
        <f>Stats!AU14 - AE14</f>
        <v>30</v>
      </c>
      <c r="AI14" s="135">
        <f>Stats!AV14 - AF14</f>
        <v>32</v>
      </c>
      <c r="AJ14" s="135">
        <f>Stats!AW14</f>
        <v>46</v>
      </c>
      <c r="AK14" s="135">
        <f>Stats!AX14</f>
        <v>26</v>
      </c>
      <c r="AL14" s="135">
        <f t="shared" si="21"/>
        <v>134</v>
      </c>
      <c r="AO14" s="29" t="str">
        <f>B14</f>
        <v>APR GP Racing</v>
      </c>
      <c r="AP14" s="5" t="str">
        <f>C14</f>
        <v>Tatuus</v>
      </c>
      <c r="AQ14" s="5"/>
      <c r="AR14" s="5">
        <f t="shared" si="22"/>
        <v>0</v>
      </c>
      <c r="AS14" s="5">
        <f t="shared" si="5"/>
        <v>97</v>
      </c>
      <c r="AT14" s="5">
        <f t="shared" si="6"/>
        <v>59</v>
      </c>
      <c r="AU14" s="5">
        <f t="shared" si="7"/>
        <v>56</v>
      </c>
      <c r="AV14" s="135">
        <f t="shared" si="27"/>
        <v>212</v>
      </c>
      <c r="AY14" s="29" t="str">
        <f>B14</f>
        <v>APR GP Racing</v>
      </c>
      <c r="AZ14" s="5" t="str">
        <f t="shared" si="9"/>
        <v>Toyota</v>
      </c>
      <c r="BA14" s="5"/>
      <c r="BB14" s="5"/>
      <c r="BC14" s="5">
        <f t="shared" si="23"/>
        <v>0</v>
      </c>
      <c r="BD14" s="135">
        <f t="shared" si="10"/>
        <v>107</v>
      </c>
      <c r="BE14" s="135">
        <f t="shared" si="11"/>
        <v>108</v>
      </c>
      <c r="BF14" s="135">
        <f t="shared" si="28"/>
        <v>215</v>
      </c>
      <c r="BI14" s="44" t="s">
        <v>510</v>
      </c>
      <c r="BJ14" s="17">
        <f t="shared" si="24"/>
        <v>0</v>
      </c>
      <c r="BK14" s="31">
        <f t="shared" si="12"/>
        <v>0</v>
      </c>
      <c r="BL14" s="31">
        <f t="shared" si="25"/>
        <v>0</v>
      </c>
      <c r="BM14" s="31">
        <f t="shared" si="26"/>
        <v>0</v>
      </c>
      <c r="BN14" s="18">
        <f t="shared" si="13"/>
        <v>0</v>
      </c>
      <c r="BO14" s="145" t="e">
        <f t="shared" si="14"/>
        <v>#REF!</v>
      </c>
    </row>
    <row r="17" spans="2:16" ht="16.8" customHeight="1" x14ac:dyDescent="0.3">
      <c r="B17" s="4" t="s">
        <v>535</v>
      </c>
      <c r="C17" s="4">
        <v>1</v>
      </c>
      <c r="N17" s="19" t="str">
        <f>IF(C17 = "NC", VLOOKUP(CONCATENATE(C17), calendar, 11, FALSE), VLOOKUP(CONCATENATE("E", C17), calendar, 11, FALSE))</f>
        <v>Engine</v>
      </c>
      <c r="O17" s="19" t="e">
        <f>IF(C17 = "NC", VLOOKUP(CONCATENATE(C17), calendar, 12, FALSE), VLOOKUP(CONCATENATE("E", C17), calendar, 12, FALSE))</f>
        <v>#REF!</v>
      </c>
      <c r="P17" s="19" t="e">
        <f>IF(C17 = "NC", VLOOKUP(CONCATENATE(C17), calendar, 13, FALSE), VLOOKUP(CONCATENATE("E", C17), calendar, 13, FALSE))</f>
        <v>#REF!</v>
      </c>
    </row>
  </sheetData>
  <mergeCells count="27">
    <mergeCell ref="B2:E2"/>
    <mergeCell ref="H2:K2"/>
    <mergeCell ref="S2:AA2"/>
    <mergeCell ref="AD2:AL2"/>
    <mergeCell ref="AO3:AO4"/>
    <mergeCell ref="AO2:AV2"/>
    <mergeCell ref="AV3:AV4"/>
    <mergeCell ref="AT3:AU3"/>
    <mergeCell ref="B3:E3"/>
    <mergeCell ref="H3:K3"/>
    <mergeCell ref="S3:AA3"/>
    <mergeCell ref="AD3:AD4"/>
    <mergeCell ref="AE3:AG3"/>
    <mergeCell ref="BI2:BO2"/>
    <mergeCell ref="BI3:BO3"/>
    <mergeCell ref="N2:P2"/>
    <mergeCell ref="N3:P3"/>
    <mergeCell ref="AY2:BF2"/>
    <mergeCell ref="AH3:AK3"/>
    <mergeCell ref="AL3:AL4"/>
    <mergeCell ref="AP3:AP4"/>
    <mergeCell ref="AQ3:AR3"/>
    <mergeCell ref="AS3:AS4"/>
    <mergeCell ref="AY3:AY4"/>
    <mergeCell ref="BA3:BC3"/>
    <mergeCell ref="BD3:BE3"/>
    <mergeCell ref="BF3:BF4"/>
  </mergeCells>
  <conditionalFormatting sqref="C5:C14">
    <cfRule type="cellIs" dxfId="19" priority="20" operator="equal">
      <formula>"Lola"</formula>
    </cfRule>
    <cfRule type="cellIs" dxfId="18" priority="32" operator="equal">
      <formula>"March"</formula>
    </cfRule>
    <cfRule type="cellIs" dxfId="17" priority="33" operator="equal">
      <formula>"Tatuus"</formula>
    </cfRule>
    <cfRule type="cellIs" dxfId="16" priority="34" operator="equal">
      <formula>"Reynard"</formula>
    </cfRule>
  </conditionalFormatting>
  <conditionalFormatting sqref="D5:D14">
    <cfRule type="cellIs" dxfId="15" priority="28" operator="equal">
      <formula>"Chevrolet"</formula>
    </cfRule>
    <cfRule type="cellIs" dxfId="14" priority="29" operator="equal">
      <formula>"Honda"</formula>
    </cfRule>
    <cfRule type="cellIs" dxfId="13" priority="30" operator="equal">
      <formula>"Porsche"</formula>
    </cfRule>
    <cfRule type="cellIs" dxfId="12" priority="31" operator="equal">
      <formula>"Toyota"</formula>
    </cfRule>
  </conditionalFormatting>
  <conditionalFormatting sqref="E5:E14">
    <cfRule type="cellIs" dxfId="11" priority="24" operator="equal">
      <formula>"Firestone"</formula>
    </cfRule>
    <cfRule type="cellIs" dxfId="10" priority="25" operator="equal">
      <formula>"Pirelli"</formula>
    </cfRule>
    <cfRule type="cellIs" dxfId="9" priority="26" operator="equal">
      <formula>"Michelin"</formula>
    </cfRule>
    <cfRule type="cellIs" dxfId="8" priority="27" operator="equal">
      <formula>"Hankook"</formula>
    </cfRule>
  </conditionalFormatting>
  <conditionalFormatting sqref="H5:H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1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W1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X1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:Y1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:Z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A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:AH1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I1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:AJ1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:AK1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:AL1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:AP14">
    <cfRule type="cellIs" dxfId="7" priority="11" operator="equal">
      <formula>"Lola"</formula>
    </cfRule>
    <cfRule type="cellIs" dxfId="6" priority="12" operator="equal">
      <formula>"March"</formula>
    </cfRule>
    <cfRule type="cellIs" dxfId="5" priority="13" operator="equal">
      <formula>"Tatuus"</formula>
    </cfRule>
    <cfRule type="cellIs" dxfId="4" priority="14" operator="equal">
      <formula>"Reynard"</formula>
    </cfRule>
  </conditionalFormatting>
  <conditionalFormatting sqref="AV5:AV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:AZ14">
    <cfRule type="cellIs" dxfId="3" priority="15" operator="equal">
      <formula>"Chevrolet"</formula>
    </cfRule>
    <cfRule type="cellIs" dxfId="2" priority="16" operator="equal">
      <formula>"Honda"</formula>
    </cfRule>
    <cfRule type="cellIs" dxfId="1" priority="17" operator="equal">
      <formula>"Porsche"</formula>
    </cfRule>
    <cfRule type="cellIs" dxfId="0" priority="18" operator="equal">
      <formula>"Toyota"</formula>
    </cfRule>
  </conditionalFormatting>
  <conditionalFormatting sqref="BD5:BD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:BF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:BO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tyre wear sim</vt:lpstr>
      <vt:lpstr>Start</vt:lpstr>
      <vt:lpstr>Lineups</vt:lpstr>
      <vt:lpstr>Drivers</vt:lpstr>
      <vt:lpstr>Stats</vt:lpstr>
      <vt:lpstr>Per Race Stats</vt:lpstr>
      <vt:lpstr>Upgrades</vt:lpstr>
      <vt:lpstr>Standings OLD</vt:lpstr>
      <vt:lpstr>Standings</vt:lpstr>
      <vt:lpstr>Podiums</vt:lpstr>
      <vt:lpstr>Event T</vt:lpstr>
      <vt:lpstr>BOP - T</vt:lpstr>
      <vt:lpstr>'BOP - T'!boosted</vt:lpstr>
      <vt:lpstr>calendar</vt:lpstr>
      <vt:lpstr>chassisShortStatsNew</vt:lpstr>
      <vt:lpstr>'BOP - T'!chassisStatsBalanced</vt:lpstr>
      <vt:lpstr>chassisStatsNew</vt:lpstr>
      <vt:lpstr>driverStats</vt:lpstr>
      <vt:lpstr>'BOP - T'!engineStatsBalanced</vt:lpstr>
      <vt:lpstr>engineStatsNew</vt:lpstr>
      <vt:lpstr>lengthDetails</vt:lpstr>
      <vt:lpstr>pointsSystem</vt:lpstr>
      <vt:lpstr>pointsSystem2</vt:lpstr>
      <vt:lpstr>trackList</vt:lpstr>
      <vt:lpstr>tyreStatsNew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Lankshear (S.Lankshear.23)</dc:creator>
  <cp:lastModifiedBy>Stephen Lankshear (S.Lankshear.23)</cp:lastModifiedBy>
  <dcterms:created xsi:type="dcterms:W3CDTF">2024-03-19T14:41:22Z</dcterms:created>
  <dcterms:modified xsi:type="dcterms:W3CDTF">2026-04-17T21:37:45Z</dcterms:modified>
</cp:coreProperties>
</file>